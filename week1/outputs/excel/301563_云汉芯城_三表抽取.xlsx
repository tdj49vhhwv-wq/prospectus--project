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认缴流量" sheetId="1" state="visible" r:id="rId1"/>
    <sheet xmlns:r="http://schemas.openxmlformats.org/officeDocument/2006/relationships" name="股权存量" sheetId="2" state="visible" r:id="rId2"/>
    <sheet xmlns:r="http://schemas.openxmlformats.org/officeDocument/2006/relationships" name="schema_cross_check"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1"/>
    </font>
    <font>
      <b val="1"/>
      <sz val="13"/>
    </font>
    <font>
      <b val="1"/>
      <color rgb="00FF0000"/>
      <sz val="12"/>
    </font>
    <font>
      <b val="1"/>
      <color rgb="000000FF"/>
      <sz val="12"/>
    </font>
    <font>
      <b val="1"/>
    </font>
  </fonts>
  <fills count="5">
    <fill>
      <patternFill/>
    </fill>
    <fill>
      <patternFill patternType="gray125"/>
    </fill>
    <fill>
      <patternFill patternType="solid">
        <fgColor rgb="00D9E1F2"/>
        <bgColor rgb="00D9E1F2"/>
      </patternFill>
    </fill>
    <fill>
      <patternFill patternType="solid">
        <fgColor rgb="00FFFFCC"/>
        <bgColor rgb="00FFFFCC"/>
      </patternFill>
    </fill>
    <fill>
      <patternFill patternType="solid">
        <fgColor rgb="00CCE5FF"/>
        <bgColor rgb="00CCE5FF"/>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3" borderId="0" pivotButton="0" quotePrefix="0" xfId="0"/>
    <xf numFmtId="0" fontId="4" fillId="4"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14" customWidth="1" min="1" max="1"/>
    <col width="13" customWidth="1" min="2" max="2"/>
    <col width="22" customWidth="1" min="3" max="3"/>
    <col width="14" customWidth="1" min="4" max="4"/>
    <col width="14" customWidth="1" min="5" max="5"/>
    <col width="14" customWidth="1" min="6" max="6"/>
    <col width="10" customWidth="1" min="7" max="7"/>
    <col width="14" customWidth="1" min="8" max="8"/>
    <col width="10" customWidth="1" min="9" max="9"/>
    <col width="60" customWidth="1" min="10" max="10"/>
  </cols>
  <sheetData>
    <row r="1">
      <c r="A1" s="1" t="inlineStr">
        <is>
          <t>PDF页码</t>
        </is>
      </c>
      <c r="B1" s="1" t="inlineStr">
        <is>
          <t>增资日期</t>
        </is>
      </c>
      <c r="C1" s="1" t="inlineStr">
        <is>
          <t>认购方</t>
        </is>
      </c>
      <c r="D1" s="1" t="inlineStr">
        <is>
          <t>认购数量(万股)</t>
        </is>
      </c>
      <c r="E1" s="1" t="inlineStr">
        <is>
          <t>认购金额(万元)</t>
        </is>
      </c>
      <c r="F1" s="1" t="inlineStr">
        <is>
          <t>认购价格(元/股)</t>
        </is>
      </c>
      <c r="G1" s="1" t="inlineStr">
        <is>
          <t>事件类型</t>
        </is>
      </c>
      <c r="H1" s="1" t="inlineStr">
        <is>
          <t>增资后总股本(万股)</t>
        </is>
      </c>
      <c r="I1" s="1" t="inlineStr">
        <is>
          <t>认购占比</t>
        </is>
      </c>
      <c r="J1" s="1" t="inlineStr">
        <is>
          <t>原文证据</t>
        </is>
      </c>
    </row>
    <row r="2">
      <c r="A2" t="inlineStr">
        <is>
          <t>PDF p1</t>
        </is>
      </c>
      <c r="B2" t="inlineStr">
        <is>
          <t>2008-05-07</t>
        </is>
      </c>
      <c r="C2" t="inlineStr">
        <is>
          <t>深圳市云汉电子有限公司</t>
        </is>
      </c>
      <c r="E2" t="n">
        <v>25</v>
      </c>
      <c r="G2" t="inlineStr">
        <is>
          <t>增资</t>
        </is>
      </c>
      <c r="I2" t="inlineStr">
        <is>
          <t>50.00%</t>
        </is>
      </c>
      <c r="J2" t="inlineStr">
        <is>
          <t>2008年4月17日，深圳市云汉电子有限公司和刘云锋共同申请设立上海云汉电子有限公司，注册资本50万元，深圳云汉电子认缴25万元（50%），刘云锋认缴25万元（50%）。2008年5月7日办理完毕工商登记。</t>
        </is>
      </c>
    </row>
    <row r="3">
      <c r="A3" t="inlineStr">
        <is>
          <t>PDF p1</t>
        </is>
      </c>
      <c r="B3" t="inlineStr">
        <is>
          <t>2008-05-07</t>
        </is>
      </c>
      <c r="C3" t="inlineStr">
        <is>
          <t>刘云锋</t>
        </is>
      </c>
      <c r="E3" t="n">
        <v>25</v>
      </c>
      <c r="G3" t="inlineStr">
        <is>
          <t>增资</t>
        </is>
      </c>
      <c r="I3" t="inlineStr">
        <is>
          <t>50.00%</t>
        </is>
      </c>
      <c r="J3" t="inlineStr">
        <is>
          <t>2008年4月17日，深圳市云汉电子有限公司和刘云锋共同申请设立上海云汉电子有限公司，注册资本50万元，深圳云汉电子认缴25万元（50%），刘云锋认缴25万元（50%）。2008年5月7日办理完毕工商登记。</t>
        </is>
      </c>
    </row>
    <row r="4">
      <c r="A4" t="inlineStr">
        <is>
          <t>PDF p1</t>
        </is>
      </c>
      <c r="B4" t="inlineStr">
        <is>
          <t>2009-12</t>
        </is>
      </c>
      <c r="C4" t="inlineStr">
        <is>
          <t>曾烨</t>
        </is>
      </c>
      <c r="G4" t="inlineStr">
        <is>
          <t>增资及股权转让</t>
        </is>
      </c>
      <c r="J4" t="inlineStr">
        <is>
          <t>2009年12月，有限公司第一次股权转让及增资，注册资本增至100万元。深圳市云汉电子有限公司将其持有的有限公司50%股权转让给曾烨。曾烨、刘云锋按原持股比例增资50万元，注册资本增至100万元。</t>
        </is>
      </c>
    </row>
    <row r="5">
      <c r="A5" t="inlineStr">
        <is>
          <t>PDF p1</t>
        </is>
      </c>
      <c r="B5" t="inlineStr">
        <is>
          <t>2009-12</t>
        </is>
      </c>
      <c r="C5" t="inlineStr">
        <is>
          <t>刘云锋</t>
        </is>
      </c>
      <c r="G5" t="inlineStr">
        <is>
          <t>增资及股权转让</t>
        </is>
      </c>
      <c r="J5" t="inlineStr">
        <is>
          <t>2009年12月，有限公司第一次股权转让及增资，注册资本增至100万元。深圳市云汉电子有限公司将其持有的有限公司50%股权转让给曾烨。曾烨、刘云锋按原持股比例增资50万元，注册资本增至100万元。</t>
        </is>
      </c>
    </row>
    <row r="6">
      <c r="A6" t="inlineStr">
        <is>
          <t>PDF p1</t>
        </is>
      </c>
      <c r="B6" t="inlineStr">
        <is>
          <t>2014-08</t>
        </is>
      </c>
      <c r="C6" t="inlineStr">
        <is>
          <t>武汉力源信息技术股份有限公司</t>
        </is>
      </c>
      <c r="G6" t="inlineStr">
        <is>
          <t>增资</t>
        </is>
      </c>
      <c r="I6" t="inlineStr">
        <is>
          <t>10.25%</t>
        </is>
      </c>
      <c r="J6" t="inlineStr">
        <is>
          <t>力源信息、东方富海及芜湖富海共同增资28.205万元，注册资本增至128.205万元。此轮引入了产业投资者力源信息（上市公司）及知名投资机构东方富海系。</t>
        </is>
      </c>
    </row>
    <row r="7">
      <c r="A7" t="inlineStr">
        <is>
          <t>PDF p1</t>
        </is>
      </c>
      <c r="B7" t="inlineStr">
        <is>
          <t>2014-08</t>
        </is>
      </c>
      <c r="C7" t="inlineStr">
        <is>
          <t>东方富海（上海）创业投资企业（有限合伙）</t>
        </is>
      </c>
      <c r="G7" t="inlineStr">
        <is>
          <t>增资</t>
        </is>
      </c>
      <c r="I7" t="inlineStr">
        <is>
          <t>5.12%</t>
        </is>
      </c>
      <c r="J7" t="inlineStr">
        <is>
          <t>力源信息、东方富海及芜湖富海共同增资28.205万元，注册资本增至128.205万元。此轮引入了产业投资者力源信息（上市公司）及知名投资机构东方富海系。</t>
        </is>
      </c>
    </row>
    <row r="8">
      <c r="A8" t="inlineStr">
        <is>
          <t>PDF p1</t>
        </is>
      </c>
      <c r="B8" t="inlineStr">
        <is>
          <t>2014-08</t>
        </is>
      </c>
      <c r="C8" t="inlineStr">
        <is>
          <t>芜湖富海浩研创业投资基金（有限合伙）</t>
        </is>
      </c>
      <c r="G8" t="inlineStr">
        <is>
          <t>增资</t>
        </is>
      </c>
      <c r="I8" t="inlineStr">
        <is>
          <t>5.81%</t>
        </is>
      </c>
      <c r="J8" t="inlineStr">
        <is>
          <t>力源信息、东方富海及芜湖富海共同增资28.205万元，注册资本增至128.205万元。此轮引入了产业投资者力源信息（上市公司）及知名投资机构东方富海系。</t>
        </is>
      </c>
    </row>
    <row r="9">
      <c r="A9" t="inlineStr">
        <is>
          <t>PDF p1</t>
        </is>
      </c>
      <c r="B9" t="inlineStr">
        <is>
          <t>2015-08</t>
        </is>
      </c>
      <c r="C9" t="inlineStr">
        <is>
          <t>深圳市创新投资集团有限公司</t>
        </is>
      </c>
      <c r="G9" t="inlineStr">
        <is>
          <t>增资</t>
        </is>
      </c>
      <c r="I9" t="inlineStr">
        <is>
          <t>2.01%</t>
        </is>
      </c>
      <c r="J9"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0">
      <c r="A10" t="inlineStr">
        <is>
          <t>PDF p1</t>
        </is>
      </c>
      <c r="B10" t="inlineStr">
        <is>
          <t>2015-08</t>
        </is>
      </c>
      <c r="C10" t="inlineStr">
        <is>
          <t>丰利财富（北京）国际资本管理股份有限公司</t>
        </is>
      </c>
      <c r="E10" t="n">
        <v>1000</v>
      </c>
      <c r="G10" t="inlineStr">
        <is>
          <t>增资</t>
        </is>
      </c>
      <c r="I10" t="inlineStr">
        <is>
          <t>1.67%</t>
        </is>
      </c>
      <c r="J10"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1">
      <c r="A11" t="inlineStr">
        <is>
          <t>PDF p1</t>
        </is>
      </c>
      <c r="B11" t="inlineStr">
        <is>
          <t>2015-08</t>
        </is>
      </c>
      <c r="C11" t="inlineStr">
        <is>
          <t>镇江红土创业投资有限公司</t>
        </is>
      </c>
      <c r="G11" t="inlineStr">
        <is>
          <t>增资</t>
        </is>
      </c>
      <c r="I11" t="inlineStr">
        <is>
          <t>0.72%</t>
        </is>
      </c>
      <c r="J11"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2">
      <c r="A12" t="inlineStr">
        <is>
          <t>PDF p1</t>
        </is>
      </c>
      <c r="B12" t="inlineStr">
        <is>
          <t>2015-08</t>
        </is>
      </c>
      <c r="C12" t="inlineStr">
        <is>
          <t>昆山红土高新创业投资有限公司</t>
        </is>
      </c>
      <c r="G12" t="inlineStr">
        <is>
          <t>增资</t>
        </is>
      </c>
      <c r="I12" t="inlineStr">
        <is>
          <t>0.72%</t>
        </is>
      </c>
      <c r="J12"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3">
      <c r="A13" t="inlineStr">
        <is>
          <t>PDF p1</t>
        </is>
      </c>
      <c r="B13" t="inlineStr">
        <is>
          <t>2015-08</t>
        </is>
      </c>
      <c r="C13" t="inlineStr">
        <is>
          <t>富海深湾（深圳）移动创新私募创业投资基金合伙企业（有限合伙）</t>
        </is>
      </c>
      <c r="G13" t="inlineStr">
        <is>
          <t>增资</t>
        </is>
      </c>
      <c r="I13" t="inlineStr">
        <is>
          <t>0.72%</t>
        </is>
      </c>
      <c r="J13"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4">
      <c r="A14" t="inlineStr">
        <is>
          <t>PDF p1</t>
        </is>
      </c>
      <c r="B14" t="inlineStr">
        <is>
          <t>2015-12-03</t>
        </is>
      </c>
      <c r="C14" t="inlineStr">
        <is>
          <t>曾烨</t>
        </is>
      </c>
      <c r="G14" t="inlineStr">
        <is>
          <t>其他</t>
        </is>
      </c>
      <c r="I14" t="inlineStr">
        <is>
          <t>44.48%</t>
        </is>
      </c>
      <c r="J14" t="inlineStr">
        <is>
          <t>2015年10月15日，全体发起人签署《发起人协议书》。有限公司将经审计净资产额45,010,412.64元按1.1253:1的比例折成4,000万股，每股面值1元，其余5,010,412.64元计入资本公积。2015年12月3日，上海市工商行政管理局核准。</t>
        </is>
      </c>
    </row>
    <row r="15">
      <c r="A15" t="inlineStr">
        <is>
          <t>PDF p1</t>
        </is>
      </c>
      <c r="B15" t="inlineStr">
        <is>
          <t>2015-12-03</t>
        </is>
      </c>
      <c r="C15" t="inlineStr">
        <is>
          <t>刘云锋</t>
        </is>
      </c>
      <c r="G15" t="inlineStr">
        <is>
          <t>其他</t>
        </is>
      </c>
      <c r="I15" t="inlineStr">
        <is>
          <t>18.53%</t>
        </is>
      </c>
      <c r="J15" t="inlineStr">
        <is>
          <t>2015年10月15日，全体发起人签署《发起人协议书》。有限公司将经审计净资产额45,010,412.64元按1.1253:1的比例折成4,000万股，每股面值1元，其余5,010,412.64元计入资本公积。2015年12月3日，上海市工商行政管理局核准。</t>
        </is>
      </c>
    </row>
    <row r="16">
      <c r="A16" t="inlineStr">
        <is>
          <t>PDF p1</t>
        </is>
      </c>
      <c r="B16" t="inlineStr">
        <is>
          <t>2015-12-03</t>
        </is>
      </c>
      <c r="C16" t="inlineStr">
        <is>
          <t>武汉力源信息技术股份有限公司</t>
        </is>
      </c>
      <c r="G16" t="inlineStr">
        <is>
          <t>其他</t>
        </is>
      </c>
      <c r="I16" t="inlineStr">
        <is>
          <t>12.51%</t>
        </is>
      </c>
      <c r="J16" t="inlineStr">
        <is>
          <t>2015年10月15日，全体发起人签署《发起人协议书》。有限公司将经审计净资产额45,010,412.64元按1.1253:1的比例折成4,000万股，每股面值1元，其余5,010,412.64元计入资本公积。2015年12月3日，上海市工商行政管理局核准。</t>
        </is>
      </c>
    </row>
    <row r="17">
      <c r="A17" t="inlineStr">
        <is>
          <t>PDF p1</t>
        </is>
      </c>
      <c r="B17" t="inlineStr">
        <is>
          <t>2018-06-28</t>
        </is>
      </c>
      <c r="C17" t="inlineStr">
        <is>
          <t>国科瑞华（北京）创业投资合伙企业（有限合伙）</t>
        </is>
      </c>
      <c r="E17" t="n">
        <v>7412</v>
      </c>
      <c r="F17" t="n">
        <v>29.13</v>
      </c>
      <c r="G17" t="inlineStr">
        <is>
          <t>增资及股权转让</t>
        </is>
      </c>
      <c r="I17" t="inlineStr">
        <is>
          <t>5.49%</t>
        </is>
      </c>
      <c r="J17"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8">
      <c r="A18" t="inlineStr">
        <is>
          <t>PDF p1</t>
        </is>
      </c>
      <c r="B18" t="inlineStr">
        <is>
          <t>2018-06-28</t>
        </is>
      </c>
      <c r="C18" t="inlineStr">
        <is>
          <t>CASREV FUND</t>
        </is>
      </c>
      <c r="E18" t="n">
        <v>1800</v>
      </c>
      <c r="F18" t="n">
        <v>29.13</v>
      </c>
      <c r="G18" t="inlineStr">
        <is>
          <t>增资及股权转让</t>
        </is>
      </c>
      <c r="I18" t="inlineStr">
        <is>
          <t>1.33%</t>
        </is>
      </c>
      <c r="J18"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9">
      <c r="A19" t="inlineStr">
        <is>
          <t>PDF p1</t>
        </is>
      </c>
      <c r="B19" t="inlineStr">
        <is>
          <t>2018-06-28</t>
        </is>
      </c>
      <c r="C19" t="inlineStr">
        <is>
          <t>中科贵银（贵州）创业投资中心（有限合伙）</t>
        </is>
      </c>
      <c r="E19" t="n">
        <v>1584</v>
      </c>
      <c r="F19" t="n">
        <v>29.13</v>
      </c>
      <c r="G19" t="inlineStr">
        <is>
          <t>增资及股权转让</t>
        </is>
      </c>
      <c r="I19" t="inlineStr">
        <is>
          <t>1.17%</t>
        </is>
      </c>
      <c r="J19"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0">
      <c r="A20" t="inlineStr">
        <is>
          <t>PDF p1</t>
        </is>
      </c>
      <c r="B20" t="inlineStr">
        <is>
          <t>2018-06-28</t>
        </is>
      </c>
      <c r="C20" t="inlineStr">
        <is>
          <t>深圳南山富海中小企业发展基金合伙企业（有限合伙）</t>
        </is>
      </c>
      <c r="E20" t="n">
        <v>3000</v>
      </c>
      <c r="F20" t="n">
        <v>29.13</v>
      </c>
      <c r="G20" t="inlineStr">
        <is>
          <t>增资及股权转让</t>
        </is>
      </c>
      <c r="I20" t="inlineStr">
        <is>
          <t>2.22%</t>
        </is>
      </c>
      <c r="J20"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1">
      <c r="A21" t="inlineStr">
        <is>
          <t>PDF p1</t>
        </is>
      </c>
      <c r="B21" t="inlineStr">
        <is>
          <t>2018-06-28</t>
        </is>
      </c>
      <c r="C21" t="inlineStr">
        <is>
          <t>珠海拓域投资合伙企业（有限合伙）</t>
        </is>
      </c>
      <c r="E21" t="n">
        <v>1000</v>
      </c>
      <c r="F21" t="n">
        <v>29.13</v>
      </c>
      <c r="G21" t="inlineStr">
        <is>
          <t>增资及股权转让</t>
        </is>
      </c>
      <c r="I21" t="inlineStr">
        <is>
          <t>0.74%</t>
        </is>
      </c>
      <c r="J21"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2">
      <c r="A22" t="inlineStr">
        <is>
          <t>PDF p1</t>
        </is>
      </c>
      <c r="B22" t="inlineStr">
        <is>
          <t>2018-06-28</t>
        </is>
      </c>
      <c r="C22" t="inlineStr">
        <is>
          <t>夏东</t>
        </is>
      </c>
      <c r="E22" t="n">
        <v>204</v>
      </c>
      <c r="F22" t="n">
        <v>29.13</v>
      </c>
      <c r="G22" t="inlineStr">
        <is>
          <t>增资及股权转让</t>
        </is>
      </c>
      <c r="I22" t="inlineStr">
        <is>
          <t>0.15%</t>
        </is>
      </c>
      <c r="J22"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3">
      <c r="A23" t="inlineStr">
        <is>
          <t>PDF p1</t>
        </is>
      </c>
      <c r="B23" t="inlineStr">
        <is>
          <t>2020-05-28</t>
        </is>
      </c>
      <c r="C23" t="inlineStr">
        <is>
          <t>火炬电子科技股份有限公司</t>
        </is>
      </c>
      <c r="E23" t="n">
        <v>5000</v>
      </c>
      <c r="F23" t="n">
        <v>44.23</v>
      </c>
      <c r="G23" t="inlineStr">
        <is>
          <t>增资</t>
        </is>
      </c>
      <c r="I23" t="inlineStr">
        <is>
          <t>2.38%</t>
        </is>
      </c>
      <c r="J23" t="inlineStr">
        <is>
          <t>2020年5月20日召开临时股东大会，同意注册资本由4,635万元增至4,748.0488万元。火炬电子以现金5,000万元认购新增股份113.0488万股，每股价格约44.23元，对应投后估值约21亿元。</t>
        </is>
      </c>
    </row>
    <row r="24">
      <c r="A24" t="inlineStr">
        <is>
          <t>PDF p1</t>
        </is>
      </c>
      <c r="B24" t="inlineStr">
        <is>
          <t>2020-09-23</t>
        </is>
      </c>
      <c r="C24" t="inlineStr">
        <is>
          <t>厦门西堤股权投资合伙企业（有限合伙）</t>
        </is>
      </c>
      <c r="E24" t="n">
        <v>5000</v>
      </c>
      <c r="F24" t="n">
        <v>51.6</v>
      </c>
      <c r="G24" t="inlineStr">
        <is>
          <t>增资及股权转让</t>
        </is>
      </c>
      <c r="I24" t="inlineStr">
        <is>
          <t>1.98%</t>
        </is>
      </c>
      <c r="J24" t="inlineStr">
        <is>
          <t>2020年9月15日召开临时股东大会，同意注册资本由4,748.0488万元增至4,883.7074万元。厦门西堤以5,000万元认购96.899万股，中小企业基金以2,000万元认购38.7596万股。每股价格约51.6元，对应投后估值约25.2亿元。</t>
        </is>
      </c>
    </row>
    <row r="25">
      <c r="A25" t="inlineStr">
        <is>
          <t>PDF p1</t>
        </is>
      </c>
      <c r="B25" t="inlineStr">
        <is>
          <t>2020-09-23</t>
        </is>
      </c>
      <c r="C25" t="inlineStr">
        <is>
          <t>中小企业发展基金（深圳有限合伙）</t>
        </is>
      </c>
      <c r="E25" t="n">
        <v>2000</v>
      </c>
      <c r="F25" t="n">
        <v>51.6</v>
      </c>
      <c r="G25" t="inlineStr">
        <is>
          <t>增资及股权转让</t>
        </is>
      </c>
      <c r="I25" t="inlineStr">
        <is>
          <t>0.79%</t>
        </is>
      </c>
      <c r="J25" t="inlineStr">
        <is>
          <t>2020年9月15日召开临时股东大会，同意注册资本由4,748.0488万元增至4,883.7074万元。厦门西堤以5,000万元认购96.899万股，中小企业基金以2,000万元认购38.7596万股。每股价格约51.6元，对应投后估值约25.2亿元。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14" customWidth="1" min="1" max="1"/>
    <col width="13" customWidth="1" min="2" max="2"/>
    <col width="18" customWidth="1" min="3" max="3"/>
    <col width="13" customWidth="1" min="4" max="4"/>
    <col width="13" customWidth="1" min="5" max="5"/>
    <col width="22" customWidth="1" min="6" max="6"/>
    <col width="13" customWidth="1" min="7" max="7"/>
    <col width="13" customWidth="1" min="8" max="8"/>
    <col width="10" customWidth="1" min="9" max="9"/>
    <col width="8" customWidth="1" min="10" max="10"/>
    <col width="12" customWidth="1" min="11" max="11"/>
    <col width="8" customWidth="1" min="12" max="12"/>
    <col width="60" customWidth="1" min="13" max="13"/>
  </cols>
  <sheetData>
    <row r="1">
      <c r="A1" s="1" t="inlineStr">
        <is>
          <t>PDF页码</t>
        </is>
      </c>
      <c r="B1" s="1" t="inlineStr">
        <is>
          <t>时点</t>
        </is>
      </c>
      <c r="C1" s="1" t="inlineStr">
        <is>
          <t>股权结构口径</t>
        </is>
      </c>
      <c r="D1" s="1" t="inlineStr">
        <is>
          <t>总股本(万股)</t>
        </is>
      </c>
      <c r="E1" s="1" t="inlineStr">
        <is>
          <t>总出资额(万元)</t>
        </is>
      </c>
      <c r="F1" s="1" t="inlineStr">
        <is>
          <t>股东名称</t>
        </is>
      </c>
      <c r="G1" s="1" t="inlineStr">
        <is>
          <t>持股数(万股)</t>
        </is>
      </c>
      <c r="H1" s="1" t="inlineStr">
        <is>
          <t>出资额(万元)</t>
        </is>
      </c>
      <c r="I1" s="1" t="inlineStr">
        <is>
          <t>持股比例</t>
        </is>
      </c>
      <c r="J1" s="1" t="inlineStr">
        <is>
          <t>快照序号</t>
        </is>
      </c>
      <c r="K1" s="1" t="inlineStr">
        <is>
          <t>股东类型</t>
        </is>
      </c>
      <c r="L1" s="1" t="inlineStr">
        <is>
          <t>原始创始人</t>
        </is>
      </c>
      <c r="M1" s="1" t="inlineStr">
        <is>
          <t>原文证据</t>
        </is>
      </c>
    </row>
    <row r="2">
      <c r="A2" t="inlineStr">
        <is>
          <t>PDF p1</t>
        </is>
      </c>
      <c r="B2" t="inlineStr">
        <is>
          <t>2008-05-07</t>
        </is>
      </c>
      <c r="C2" t="inlineStr">
        <is>
          <t>有限公司设立时</t>
        </is>
      </c>
      <c r="F2" t="inlineStr">
        <is>
          <t>深圳市云汉电子有限公司</t>
        </is>
      </c>
      <c r="H2" t="n">
        <v>25</v>
      </c>
      <c r="I2" t="inlineStr">
        <is>
          <t>50.00%</t>
        </is>
      </c>
      <c r="J2" t="inlineStr">
        <is>
          <t>t1</t>
        </is>
      </c>
      <c r="K2" t="inlineStr">
        <is>
          <t>其他</t>
        </is>
      </c>
      <c r="L2" t="inlineStr">
        <is>
          <t>unknown</t>
        </is>
      </c>
      <c r="M2" t="inlineStr">
        <is>
          <t>2008年4月17日，深圳市云汉电子有限公司和刘云锋共同申请设立上海云汉电子有限公司，注册资本50万元，深圳云汉电子认缴25万元（50%），刘云锋认缴25万元（50%）。2008年5月7日办理完毕工商登记。</t>
        </is>
      </c>
    </row>
    <row r="3">
      <c r="A3" t="inlineStr">
        <is>
          <t>PDF p1</t>
        </is>
      </c>
      <c r="B3" t="inlineStr">
        <is>
          <t>2008-05-07</t>
        </is>
      </c>
      <c r="C3" t="inlineStr">
        <is>
          <t>有限公司设立时</t>
        </is>
      </c>
      <c r="F3" t="inlineStr">
        <is>
          <t>刘云锋</t>
        </is>
      </c>
      <c r="H3" t="n">
        <v>25</v>
      </c>
      <c r="I3" t="inlineStr">
        <is>
          <t>50.00%</t>
        </is>
      </c>
      <c r="J3" t="inlineStr">
        <is>
          <t>t1</t>
        </is>
      </c>
      <c r="K3" t="inlineStr">
        <is>
          <t>自然人</t>
        </is>
      </c>
      <c r="L3" t="inlineStr">
        <is>
          <t>unknown</t>
        </is>
      </c>
      <c r="M3" t="inlineStr">
        <is>
          <t>2008年4月17日，深圳市云汉电子有限公司和刘云锋共同申请设立上海云汉电子有限公司，注册资本50万元，深圳云汉电子认缴25万元（50%），刘云锋认缴25万元（50%）。2008年5月7日办理完毕工商登记。</t>
        </is>
      </c>
    </row>
    <row r="4">
      <c r="A4" t="inlineStr">
        <is>
          <t>PDF p1</t>
        </is>
      </c>
      <c r="B4" t="inlineStr">
        <is>
          <t>2014-08</t>
        </is>
      </c>
      <c r="C4" t="inlineStr">
        <is>
          <t>A轮增资后</t>
        </is>
      </c>
      <c r="F4" t="inlineStr">
        <is>
          <t>武汉力源信息技术股份有限公司</t>
        </is>
      </c>
      <c r="I4" t="inlineStr">
        <is>
          <t>10.25%</t>
        </is>
      </c>
      <c r="J4" t="inlineStr">
        <is>
          <t>t2</t>
        </is>
      </c>
      <c r="K4" t="inlineStr">
        <is>
          <t>产业资本</t>
        </is>
      </c>
      <c r="L4" t="inlineStr">
        <is>
          <t>unknown</t>
        </is>
      </c>
      <c r="M4" t="inlineStr">
        <is>
          <t>力源信息、东方富海及芜湖富海共同增资28.205万元，注册资本增至128.205万元。此轮引入了产业投资者力源信息（上市公司）及知名投资机构东方富海系。</t>
        </is>
      </c>
    </row>
    <row r="5">
      <c r="A5" t="inlineStr">
        <is>
          <t>PDF p1</t>
        </is>
      </c>
      <c r="B5" t="inlineStr">
        <is>
          <t>2014-08</t>
        </is>
      </c>
      <c r="C5" t="inlineStr">
        <is>
          <t>A轮增资后</t>
        </is>
      </c>
      <c r="F5" t="inlineStr">
        <is>
          <t>东方富海（上海）创业投资企业（有限合伙）</t>
        </is>
      </c>
      <c r="I5" t="inlineStr">
        <is>
          <t>5.12%</t>
        </is>
      </c>
      <c r="J5" t="inlineStr">
        <is>
          <t>t2</t>
        </is>
      </c>
      <c r="K5" t="inlineStr">
        <is>
          <t>外部PE</t>
        </is>
      </c>
      <c r="L5" t="inlineStr">
        <is>
          <t>unknown</t>
        </is>
      </c>
      <c r="M5" t="inlineStr">
        <is>
          <t>力源信息、东方富海及芜湖富海共同增资28.205万元，注册资本增至128.205万元。此轮引入了产业投资者力源信息（上市公司）及知名投资机构东方富海系。</t>
        </is>
      </c>
    </row>
    <row r="6">
      <c r="A6" t="inlineStr">
        <is>
          <t>PDF p1</t>
        </is>
      </c>
      <c r="B6" t="inlineStr">
        <is>
          <t>2014-08</t>
        </is>
      </c>
      <c r="C6" t="inlineStr">
        <is>
          <t>A轮增资后</t>
        </is>
      </c>
      <c r="F6" t="inlineStr">
        <is>
          <t>芜湖富海浩研创业投资基金（有限合伙）</t>
        </is>
      </c>
      <c r="I6" t="inlineStr">
        <is>
          <t>5.81%</t>
        </is>
      </c>
      <c r="J6" t="inlineStr">
        <is>
          <t>t2</t>
        </is>
      </c>
      <c r="K6" t="inlineStr">
        <is>
          <t>外部PE</t>
        </is>
      </c>
      <c r="L6" t="inlineStr">
        <is>
          <t>unknown</t>
        </is>
      </c>
      <c r="M6" t="inlineStr">
        <is>
          <t>力源信息、东方富海及芜湖富海共同增资28.205万元，注册资本增至128.205万元。此轮引入了产业投资者力源信息（上市公司）及知名投资机构东方富海系。</t>
        </is>
      </c>
    </row>
    <row r="7">
      <c r="A7" t="inlineStr">
        <is>
          <t>PDF p1</t>
        </is>
      </c>
      <c r="B7" t="inlineStr">
        <is>
          <t>2015-08</t>
        </is>
      </c>
      <c r="C7" t="inlineStr">
        <is>
          <t>B轮增资后</t>
        </is>
      </c>
      <c r="F7" t="inlineStr">
        <is>
          <t>深圳市创新投资集团有限公司</t>
        </is>
      </c>
      <c r="I7" t="inlineStr">
        <is>
          <t>2.01%</t>
        </is>
      </c>
      <c r="J7" t="inlineStr">
        <is>
          <t>t3</t>
        </is>
      </c>
      <c r="K7" t="inlineStr">
        <is>
          <t>外部PE</t>
        </is>
      </c>
      <c r="L7" t="inlineStr">
        <is>
          <t>unknown</t>
        </is>
      </c>
      <c r="M7"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8">
      <c r="A8" t="inlineStr">
        <is>
          <t>PDF p1</t>
        </is>
      </c>
      <c r="B8" t="inlineStr">
        <is>
          <t>2015-08</t>
        </is>
      </c>
      <c r="C8" t="inlineStr">
        <is>
          <t>B轮增资后</t>
        </is>
      </c>
      <c r="F8" t="inlineStr">
        <is>
          <t>丰利财富（北京）国际资本管理股份有限公司</t>
        </is>
      </c>
      <c r="H8" t="n">
        <v>1000</v>
      </c>
      <c r="I8" t="inlineStr">
        <is>
          <t>1.67%</t>
        </is>
      </c>
      <c r="J8" t="inlineStr">
        <is>
          <t>t3</t>
        </is>
      </c>
      <c r="K8" t="inlineStr">
        <is>
          <t>外部PE</t>
        </is>
      </c>
      <c r="L8" t="inlineStr">
        <is>
          <t>unknown</t>
        </is>
      </c>
      <c r="M8"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9">
      <c r="A9" t="inlineStr">
        <is>
          <t>PDF p1</t>
        </is>
      </c>
      <c r="B9" t="inlineStr">
        <is>
          <t>2015-08</t>
        </is>
      </c>
      <c r="C9" t="inlineStr">
        <is>
          <t>B轮增资后</t>
        </is>
      </c>
      <c r="F9" t="inlineStr">
        <is>
          <t>镇江红土创业投资有限公司</t>
        </is>
      </c>
      <c r="I9" t="inlineStr">
        <is>
          <t>0.72%</t>
        </is>
      </c>
      <c r="J9" t="inlineStr">
        <is>
          <t>t3</t>
        </is>
      </c>
      <c r="K9" t="inlineStr">
        <is>
          <t>外部PE</t>
        </is>
      </c>
      <c r="L9" t="inlineStr">
        <is>
          <t>unknown</t>
        </is>
      </c>
      <c r="M9"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0">
      <c r="A10" t="inlineStr">
        <is>
          <t>PDF p1</t>
        </is>
      </c>
      <c r="B10" t="inlineStr">
        <is>
          <t>2015-08</t>
        </is>
      </c>
      <c r="C10" t="inlineStr">
        <is>
          <t>B轮增资后</t>
        </is>
      </c>
      <c r="F10" t="inlineStr">
        <is>
          <t>昆山红土高新创业投资有限公司</t>
        </is>
      </c>
      <c r="I10" t="inlineStr">
        <is>
          <t>0.72%</t>
        </is>
      </c>
      <c r="J10" t="inlineStr">
        <is>
          <t>t3</t>
        </is>
      </c>
      <c r="K10" t="inlineStr">
        <is>
          <t>外部PE</t>
        </is>
      </c>
      <c r="L10" t="inlineStr">
        <is>
          <t>unknown</t>
        </is>
      </c>
      <c r="M10"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1">
      <c r="A11" t="inlineStr">
        <is>
          <t>PDF p1</t>
        </is>
      </c>
      <c r="B11" t="inlineStr">
        <is>
          <t>2015-08</t>
        </is>
      </c>
      <c r="C11" t="inlineStr">
        <is>
          <t>B轮增资后</t>
        </is>
      </c>
      <c r="F11" t="inlineStr">
        <is>
          <t>富海深湾（深圳）移动创新私募创业投资基金合伙企业（有限合伙）</t>
        </is>
      </c>
      <c r="I11" t="inlineStr">
        <is>
          <t>0.72%</t>
        </is>
      </c>
      <c r="J11" t="inlineStr">
        <is>
          <t>t3</t>
        </is>
      </c>
      <c r="K11" t="inlineStr">
        <is>
          <t>外部PE</t>
        </is>
      </c>
      <c r="L11" t="inlineStr">
        <is>
          <t>unknown</t>
        </is>
      </c>
      <c r="M11"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2">
      <c r="A12" t="inlineStr">
        <is>
          <t>PDF p1</t>
        </is>
      </c>
      <c r="B12" t="inlineStr">
        <is>
          <t>2015-12-03</t>
        </is>
      </c>
      <c r="C12" t="inlineStr">
        <is>
          <t>整体变更后</t>
        </is>
      </c>
      <c r="F12" t="inlineStr">
        <is>
          <t>曾烨</t>
        </is>
      </c>
      <c r="I12" t="inlineStr">
        <is>
          <t>44.48%</t>
        </is>
      </c>
      <c r="J12" t="inlineStr">
        <is>
          <t>t4</t>
        </is>
      </c>
      <c r="K12" t="inlineStr">
        <is>
          <t>自然人</t>
        </is>
      </c>
      <c r="L12" t="inlineStr">
        <is>
          <t>unknown</t>
        </is>
      </c>
      <c r="M12" t="inlineStr">
        <is>
          <t>2015年10月15日，全体发起人签署《发起人协议书》。有限公司将经审计净资产额45,010,412.64元按1.1253:1的比例折成4,000万股，每股面值1元，其余5,010,412.64元计入资本公积。2015年12月3日，上海市工商行政管理局核准。</t>
        </is>
      </c>
    </row>
    <row r="13">
      <c r="A13" t="inlineStr">
        <is>
          <t>PDF p1</t>
        </is>
      </c>
      <c r="B13" t="inlineStr">
        <is>
          <t>2015-12-03</t>
        </is>
      </c>
      <c r="C13" t="inlineStr">
        <is>
          <t>整体变更后</t>
        </is>
      </c>
      <c r="F13" t="inlineStr">
        <is>
          <t>刘云锋</t>
        </is>
      </c>
      <c r="I13" t="inlineStr">
        <is>
          <t>18.53%</t>
        </is>
      </c>
      <c r="J13" t="inlineStr">
        <is>
          <t>t4</t>
        </is>
      </c>
      <c r="K13" t="inlineStr">
        <is>
          <t>自然人</t>
        </is>
      </c>
      <c r="L13" t="inlineStr">
        <is>
          <t>unknown</t>
        </is>
      </c>
      <c r="M13" t="inlineStr">
        <is>
          <t>2015年10月15日，全体发起人签署《发起人协议书》。有限公司将经审计净资产额45,010,412.64元按1.1253:1的比例折成4,000万股，每股面值1元，其余5,010,412.64元计入资本公积。2015年12月3日，上海市工商行政管理局核准。</t>
        </is>
      </c>
    </row>
    <row r="14">
      <c r="A14" t="inlineStr">
        <is>
          <t>PDF p1</t>
        </is>
      </c>
      <c r="B14" t="inlineStr">
        <is>
          <t>2015-12-03</t>
        </is>
      </c>
      <c r="C14" t="inlineStr">
        <is>
          <t>整体变更后</t>
        </is>
      </c>
      <c r="F14" t="inlineStr">
        <is>
          <t>武汉力源信息技术股份有限公司</t>
        </is>
      </c>
      <c r="I14" t="inlineStr">
        <is>
          <t>12.51%</t>
        </is>
      </c>
      <c r="J14" t="inlineStr">
        <is>
          <t>t4</t>
        </is>
      </c>
      <c r="K14" t="inlineStr">
        <is>
          <t>产业资本</t>
        </is>
      </c>
      <c r="L14" t="inlineStr">
        <is>
          <t>unknown</t>
        </is>
      </c>
      <c r="M14" t="inlineStr">
        <is>
          <t>2015年10月15日，全体发起人签署《发起人协议书》。有限公司将经审计净资产额45,010,412.64元按1.1253:1的比例折成4,000万股，每股面值1元，其余5,010,412.64元计入资本公积。2015年12月3日，上海市工商行政管理局核准。</t>
        </is>
      </c>
    </row>
    <row r="15">
      <c r="A15" t="inlineStr">
        <is>
          <t>PDF p1</t>
        </is>
      </c>
      <c r="B15" t="inlineStr">
        <is>
          <t>2018-06-28</t>
        </is>
      </c>
      <c r="C15" t="inlineStr">
        <is>
          <t>股权转让后</t>
        </is>
      </c>
      <c r="E15" t="n">
        <v>254.4787</v>
      </c>
      <c r="F15" t="inlineStr">
        <is>
          <t>国科瑞华（北京）创业投资合伙企业（有限合伙）</t>
        </is>
      </c>
      <c r="H15" t="n">
        <v>7412</v>
      </c>
      <c r="I15" t="inlineStr">
        <is>
          <t>5.49%</t>
        </is>
      </c>
      <c r="J15" t="inlineStr">
        <is>
          <t>t5</t>
        </is>
      </c>
      <c r="K15" t="inlineStr">
        <is>
          <t>外部PE</t>
        </is>
      </c>
      <c r="L15" t="inlineStr">
        <is>
          <t>unknown</t>
        </is>
      </c>
      <c r="M15"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6">
      <c r="A16" t="inlineStr">
        <is>
          <t>PDF p1</t>
        </is>
      </c>
      <c r="B16" t="inlineStr">
        <is>
          <t>2018-06-28</t>
        </is>
      </c>
      <c r="C16" t="inlineStr">
        <is>
          <t>股权转让后</t>
        </is>
      </c>
      <c r="E16" t="n">
        <v>254.4787</v>
      </c>
      <c r="F16" t="inlineStr">
        <is>
          <t>CASREV FUND</t>
        </is>
      </c>
      <c r="H16" t="n">
        <v>1800</v>
      </c>
      <c r="I16" t="inlineStr">
        <is>
          <t>1.33%</t>
        </is>
      </c>
      <c r="J16" t="inlineStr">
        <is>
          <t>t5</t>
        </is>
      </c>
      <c r="K16" t="inlineStr">
        <is>
          <t>外部PE</t>
        </is>
      </c>
      <c r="L16" t="inlineStr">
        <is>
          <t>unknown</t>
        </is>
      </c>
      <c r="M16"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7">
      <c r="A17" t="inlineStr">
        <is>
          <t>PDF p1</t>
        </is>
      </c>
      <c r="B17" t="inlineStr">
        <is>
          <t>2018-06-28</t>
        </is>
      </c>
      <c r="C17" t="inlineStr">
        <is>
          <t>股权转让后</t>
        </is>
      </c>
      <c r="E17" t="n">
        <v>254.4787</v>
      </c>
      <c r="F17" t="inlineStr">
        <is>
          <t>中科贵银（贵州）创业投资中心（有限合伙）</t>
        </is>
      </c>
      <c r="H17" t="n">
        <v>1584</v>
      </c>
      <c r="I17" t="inlineStr">
        <is>
          <t>1.17%</t>
        </is>
      </c>
      <c r="J17" t="inlineStr">
        <is>
          <t>t5</t>
        </is>
      </c>
      <c r="K17" t="inlineStr">
        <is>
          <t>外部PE</t>
        </is>
      </c>
      <c r="L17" t="inlineStr">
        <is>
          <t>unknown</t>
        </is>
      </c>
      <c r="M17"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8">
      <c r="A18" t="inlineStr">
        <is>
          <t>PDF p1</t>
        </is>
      </c>
      <c r="B18" t="inlineStr">
        <is>
          <t>2018-06-28</t>
        </is>
      </c>
      <c r="C18" t="inlineStr">
        <is>
          <t>股权转让后</t>
        </is>
      </c>
      <c r="E18" t="n">
        <v>254.4787</v>
      </c>
      <c r="F18" t="inlineStr">
        <is>
          <t>深圳南山富海中小企业发展基金合伙企业（有限合伙）</t>
        </is>
      </c>
      <c r="H18" t="n">
        <v>3000</v>
      </c>
      <c r="I18" t="inlineStr">
        <is>
          <t>2.22%</t>
        </is>
      </c>
      <c r="J18" t="inlineStr">
        <is>
          <t>t5</t>
        </is>
      </c>
      <c r="K18" t="inlineStr">
        <is>
          <t>外部PE</t>
        </is>
      </c>
      <c r="L18" t="inlineStr">
        <is>
          <t>unknown</t>
        </is>
      </c>
      <c r="M18"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9">
      <c r="A19" t="inlineStr">
        <is>
          <t>PDF p1</t>
        </is>
      </c>
      <c r="B19" t="inlineStr">
        <is>
          <t>2018-06-28</t>
        </is>
      </c>
      <c r="C19" t="inlineStr">
        <is>
          <t>股权转让后</t>
        </is>
      </c>
      <c r="E19" t="n">
        <v>254.4787</v>
      </c>
      <c r="F19" t="inlineStr">
        <is>
          <t>珠海拓域投资合伙企业（有限合伙）</t>
        </is>
      </c>
      <c r="H19" t="n">
        <v>1000</v>
      </c>
      <c r="I19" t="inlineStr">
        <is>
          <t>0.74%</t>
        </is>
      </c>
      <c r="J19" t="inlineStr">
        <is>
          <t>t5</t>
        </is>
      </c>
      <c r="K19" t="inlineStr">
        <is>
          <t>外部PE</t>
        </is>
      </c>
      <c r="L19" t="inlineStr">
        <is>
          <t>unknown</t>
        </is>
      </c>
      <c r="M19"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0">
      <c r="A20" t="inlineStr">
        <is>
          <t>PDF p1</t>
        </is>
      </c>
      <c r="B20" t="inlineStr">
        <is>
          <t>2018-06-28</t>
        </is>
      </c>
      <c r="C20" t="inlineStr">
        <is>
          <t>股权转让后</t>
        </is>
      </c>
      <c r="E20" t="n">
        <v>254.4787</v>
      </c>
      <c r="F20" t="inlineStr">
        <is>
          <t>夏东</t>
        </is>
      </c>
      <c r="H20" t="n">
        <v>204</v>
      </c>
      <c r="I20" t="inlineStr">
        <is>
          <t>0.15%</t>
        </is>
      </c>
      <c r="J20" t="inlineStr">
        <is>
          <t>t5</t>
        </is>
      </c>
      <c r="K20" t="inlineStr">
        <is>
          <t>自然人</t>
        </is>
      </c>
      <c r="L20" t="inlineStr">
        <is>
          <t>unknown</t>
        </is>
      </c>
      <c r="M20"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1">
      <c r="A21" t="inlineStr">
        <is>
          <t>PDF p1</t>
        </is>
      </c>
      <c r="B21" t="inlineStr">
        <is>
          <t>2020-05-28</t>
        </is>
      </c>
      <c r="C21" t="inlineStr">
        <is>
          <t>D轮增资后</t>
        </is>
      </c>
      <c r="E21" t="n">
        <v>4635</v>
      </c>
      <c r="F21" t="inlineStr">
        <is>
          <t>火炬电子科技股份有限公司</t>
        </is>
      </c>
      <c r="H21" t="n">
        <v>5000</v>
      </c>
      <c r="I21" t="inlineStr">
        <is>
          <t>2.38%</t>
        </is>
      </c>
      <c r="J21" t="inlineStr">
        <is>
          <t>t6</t>
        </is>
      </c>
      <c r="K21" t="inlineStr">
        <is>
          <t>产业资本</t>
        </is>
      </c>
      <c r="L21" t="inlineStr">
        <is>
          <t>unknown</t>
        </is>
      </c>
      <c r="M21" t="inlineStr">
        <is>
          <t>2020年5月20日召开临时股东大会，同意注册资本由4,635万元增至4,748.0488万元。火炬电子以现金5,000万元认购新增股份113.0488万股，每股价格约44.23元，对应投后估值约21亿元。</t>
        </is>
      </c>
    </row>
    <row r="22">
      <c r="A22" t="inlineStr">
        <is>
          <t>PDF p1</t>
        </is>
      </c>
      <c r="B22" t="inlineStr">
        <is>
          <t>2020-09-23</t>
        </is>
      </c>
      <c r="C22" t="inlineStr">
        <is>
          <t>股权转让后</t>
        </is>
      </c>
      <c r="E22" t="n">
        <v>4748.0488</v>
      </c>
      <c r="F22" t="inlineStr">
        <is>
          <t>厦门西堤股权投资合伙企业（有限合伙）</t>
        </is>
      </c>
      <c r="H22" t="n">
        <v>5000</v>
      </c>
      <c r="I22" t="inlineStr">
        <is>
          <t>1.98%</t>
        </is>
      </c>
      <c r="J22" t="inlineStr">
        <is>
          <t>t7</t>
        </is>
      </c>
      <c r="K22" t="inlineStr">
        <is>
          <t>外部PE</t>
        </is>
      </c>
      <c r="L22" t="inlineStr">
        <is>
          <t>unknown</t>
        </is>
      </c>
      <c r="M22" t="inlineStr">
        <is>
          <t>2020年9月15日召开临时股东大会，同意注册资本由4,748.0488万元增至4,883.7074万元。厦门西堤以5,000万元认购96.899万股，中小企业基金以2,000万元认购38.7596万股。每股价格约51.6元，对应投后估值约25.2亿元。</t>
        </is>
      </c>
    </row>
    <row r="23">
      <c r="A23" t="inlineStr">
        <is>
          <t>PDF p1</t>
        </is>
      </c>
      <c r="B23" t="inlineStr">
        <is>
          <t>2020-09-23</t>
        </is>
      </c>
      <c r="C23" t="inlineStr">
        <is>
          <t>股权转让后</t>
        </is>
      </c>
      <c r="E23" t="n">
        <v>4748.0488</v>
      </c>
      <c r="F23" t="inlineStr">
        <is>
          <t>中小企业发展基金（深圳有限合伙）</t>
        </is>
      </c>
      <c r="H23" t="n">
        <v>2000</v>
      </c>
      <c r="I23" t="inlineStr">
        <is>
          <t>0.79%</t>
        </is>
      </c>
      <c r="J23" t="inlineStr">
        <is>
          <t>t7</t>
        </is>
      </c>
      <c r="K23" t="inlineStr">
        <is>
          <t>外部PE</t>
        </is>
      </c>
      <c r="L23" t="inlineStr">
        <is>
          <t>unknown</t>
        </is>
      </c>
      <c r="M23" t="inlineStr">
        <is>
          <t>2020年9月15日召开临时股东大会，同意注册资本由4,748.0488万元增至4,883.7074万元。厦门西堤以5,000万元认购96.899万股，中小企业基金以2,000万元认购38.7596万股。每股价格约51.6元，对应投后估值约25.2亿元。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7"/>
  <sheetViews>
    <sheetView workbookViewId="0">
      <selection activeCell="A1" sqref="A1"/>
    </sheetView>
  </sheetViews>
  <sheetFormatPr baseColWidth="8" defaultRowHeight="15"/>
  <cols>
    <col width="14" customWidth="1" min="1" max="1"/>
    <col width="10" customWidth="1" min="2" max="2"/>
    <col width="10" customWidth="1" min="3" max="3"/>
    <col width="18" customWidth="1" min="4" max="4"/>
    <col width="13" customWidth="1" min="5" max="5"/>
    <col width="14" customWidth="1" min="6" max="6"/>
    <col width="13" customWidth="1" min="7" max="7"/>
    <col width="13" customWidth="1" min="8" max="8"/>
    <col width="13" customWidth="1" min="9" max="9"/>
    <col width="11" customWidth="1" min="10" max="10"/>
    <col width="8" customWidth="1" min="11" max="11"/>
    <col width="22" customWidth="1" min="12" max="12"/>
  </cols>
  <sheetData>
    <row r="1">
      <c r="A1" s="2" t="inlineStr">
        <is>
          <t>Pydantic Schema 字段定义</t>
        </is>
      </c>
    </row>
    <row r="2">
      <c r="A2" s="1" t="inlineStr">
        <is>
          <t>记录类型</t>
        </is>
      </c>
      <c r="B2" s="1" t="inlineStr">
        <is>
          <t>字段名</t>
        </is>
      </c>
      <c r="C2" s="1" t="inlineStr">
        <is>
          <t>类型</t>
        </is>
      </c>
      <c r="D2" s="1" t="inlineStr">
        <is>
          <t>必填</t>
        </is>
      </c>
    </row>
    <row r="3">
      <c r="A3" t="inlineStr">
        <is>
          <t>subscription_flow</t>
        </is>
      </c>
      <c r="B3" t="inlineStr">
        <is>
          <t>source_page</t>
        </is>
      </c>
      <c r="C3" t="inlineStr">
        <is>
          <t>str</t>
        </is>
      </c>
      <c r="D3" t="inlineStr">
        <is>
          <t>✓</t>
        </is>
      </c>
    </row>
    <row r="4">
      <c r="A4" t="inlineStr">
        <is>
          <t>subscription_flow</t>
        </is>
      </c>
      <c r="B4" t="inlineStr">
        <is>
          <t>subscription_date</t>
        </is>
      </c>
      <c r="C4" t="inlineStr">
        <is>
          <t>str(YYYY-MM-DD)</t>
        </is>
      </c>
      <c r="D4" t="inlineStr">
        <is>
          <t>✓</t>
        </is>
      </c>
    </row>
    <row r="5">
      <c r="A5" t="inlineStr">
        <is>
          <t>subscription_flow</t>
        </is>
      </c>
      <c r="B5" t="inlineStr">
        <is>
          <t>subscriber_name</t>
        </is>
      </c>
      <c r="C5" t="inlineStr">
        <is>
          <t>str</t>
        </is>
      </c>
      <c r="D5" t="inlineStr">
        <is>
          <t>✓</t>
        </is>
      </c>
    </row>
    <row r="6">
      <c r="A6" t="inlineStr">
        <is>
          <t>subscription_flow</t>
        </is>
      </c>
      <c r="B6" t="inlineStr">
        <is>
          <t>shares_subscribed</t>
        </is>
      </c>
      <c r="C6" t="inlineStr">
        <is>
          <t>float|null</t>
        </is>
      </c>
      <c r="D6" t="inlineStr"/>
    </row>
    <row r="7">
      <c r="A7" t="inlineStr">
        <is>
          <t>subscription_flow</t>
        </is>
      </c>
      <c r="B7" t="inlineStr">
        <is>
          <t>amount_subscribed</t>
        </is>
      </c>
      <c r="C7" t="inlineStr">
        <is>
          <t>float|null</t>
        </is>
      </c>
      <c r="D7" t="inlineStr"/>
    </row>
    <row r="8">
      <c r="A8" t="inlineStr">
        <is>
          <t>subscription_flow</t>
        </is>
      </c>
      <c r="B8" t="inlineStr">
        <is>
          <t>price_per_share</t>
        </is>
      </c>
      <c r="C8" t="inlineStr">
        <is>
          <t>float|null</t>
        </is>
      </c>
      <c r="D8" t="inlineStr"/>
    </row>
    <row r="9">
      <c r="A9" t="inlineStr">
        <is>
          <t>subscription_flow</t>
        </is>
      </c>
      <c r="B9" t="inlineStr">
        <is>
          <t>event_context</t>
        </is>
      </c>
      <c r="C9" t="inlineStr">
        <is>
          <t>enum</t>
        </is>
      </c>
      <c r="D9" t="inlineStr"/>
    </row>
    <row r="10">
      <c r="A10" t="inlineStr">
        <is>
          <t>subscription_flow</t>
        </is>
      </c>
      <c r="B10" t="inlineStr">
        <is>
          <t>post_event_total_shares</t>
        </is>
      </c>
      <c r="C10" t="inlineStr">
        <is>
          <t>float|null</t>
        </is>
      </c>
      <c r="D10" t="inlineStr"/>
    </row>
    <row r="11">
      <c r="A11" t="inlineStr">
        <is>
          <t>subscription_flow</t>
        </is>
      </c>
      <c r="B11" t="inlineStr">
        <is>
          <t>post_event_total_capital</t>
        </is>
      </c>
      <c r="C11" t="inlineStr">
        <is>
          <t>float|null</t>
        </is>
      </c>
      <c r="D11" t="inlineStr"/>
    </row>
    <row r="12">
      <c r="A12" t="inlineStr">
        <is>
          <t>subscription_flow</t>
        </is>
      </c>
      <c r="B12" t="inlineStr">
        <is>
          <t>payment_method</t>
        </is>
      </c>
      <c r="C12" t="inlineStr">
        <is>
          <t>enum</t>
        </is>
      </c>
      <c r="D12" t="inlineStr"/>
    </row>
    <row r="13">
      <c r="A13" t="inlineStr">
        <is>
          <t>subscription_flow</t>
        </is>
      </c>
      <c r="B13" t="inlineStr">
        <is>
          <t>subscription_ratio</t>
        </is>
      </c>
      <c r="C13" t="inlineStr">
        <is>
          <t>str|null</t>
        </is>
      </c>
      <c r="D13" t="inlineStr"/>
    </row>
    <row r="14">
      <c r="A14" t="inlineStr">
        <is>
          <t>subscription_flow</t>
        </is>
      </c>
      <c r="B14" t="inlineStr">
        <is>
          <t>evidence_text</t>
        </is>
      </c>
      <c r="C14" t="inlineStr">
        <is>
          <t>str(min=20)</t>
        </is>
      </c>
      <c r="D14" t="inlineStr">
        <is>
          <t>✓</t>
        </is>
      </c>
    </row>
    <row r="15">
      <c r="A15" t="inlineStr">
        <is>
          <t>equity_snapshot</t>
        </is>
      </c>
      <c r="B15" t="inlineStr">
        <is>
          <t>source_page</t>
        </is>
      </c>
      <c r="C15" t="inlineStr">
        <is>
          <t>str</t>
        </is>
      </c>
      <c r="D15" t="inlineStr">
        <is>
          <t>✓</t>
        </is>
      </c>
    </row>
    <row r="16">
      <c r="A16" t="inlineStr">
        <is>
          <t>equity_snapshot</t>
        </is>
      </c>
      <c r="B16" t="inlineStr">
        <is>
          <t>snapshot_date</t>
        </is>
      </c>
      <c r="C16" t="inlineStr">
        <is>
          <t>str(YYYY-MM-DD)</t>
        </is>
      </c>
      <c r="D16" t="inlineStr">
        <is>
          <t>✓</t>
        </is>
      </c>
    </row>
    <row r="17">
      <c r="A17" t="inlineStr">
        <is>
          <t>equity_snapshot</t>
        </is>
      </c>
      <c r="B17" t="inlineStr">
        <is>
          <t>snapshot_type</t>
        </is>
      </c>
      <c r="C17" t="inlineStr">
        <is>
          <t>str</t>
        </is>
      </c>
      <c r="D17" t="inlineStr">
        <is>
          <t>✓</t>
        </is>
      </c>
    </row>
    <row r="18">
      <c r="A18" t="inlineStr">
        <is>
          <t>equity_snapshot</t>
        </is>
      </c>
      <c r="B18" t="inlineStr">
        <is>
          <t>total_shares</t>
        </is>
      </c>
      <c r="C18" t="inlineStr">
        <is>
          <t>float|null</t>
        </is>
      </c>
      <c r="D18" t="inlineStr"/>
    </row>
    <row r="19">
      <c r="A19" t="inlineStr">
        <is>
          <t>equity_snapshot</t>
        </is>
      </c>
      <c r="B19" t="inlineStr">
        <is>
          <t>total_capital</t>
        </is>
      </c>
      <c r="C19" t="inlineStr">
        <is>
          <t>float|null</t>
        </is>
      </c>
      <c r="D19" t="inlineStr"/>
    </row>
    <row r="20">
      <c r="A20" t="inlineStr">
        <is>
          <t>equity_snapshot</t>
        </is>
      </c>
      <c r="B20" t="inlineStr">
        <is>
          <t>shareholder_name</t>
        </is>
      </c>
      <c r="C20" t="inlineStr">
        <is>
          <t>str</t>
        </is>
      </c>
      <c r="D20" t="inlineStr">
        <is>
          <t>✓</t>
        </is>
      </c>
    </row>
    <row r="21">
      <c r="A21" t="inlineStr">
        <is>
          <t>equity_snapshot</t>
        </is>
      </c>
      <c r="B21" t="inlineStr">
        <is>
          <t>shares_held</t>
        </is>
      </c>
      <c r="C21" t="inlineStr">
        <is>
          <t>float|null</t>
        </is>
      </c>
      <c r="D21" t="inlineStr"/>
    </row>
    <row r="22">
      <c r="A22" t="inlineStr">
        <is>
          <t>equity_snapshot</t>
        </is>
      </c>
      <c r="B22" t="inlineStr">
        <is>
          <t>capital_contribution</t>
        </is>
      </c>
      <c r="C22" t="inlineStr">
        <is>
          <t>float|null</t>
        </is>
      </c>
      <c r="D22" t="inlineStr"/>
    </row>
    <row r="23">
      <c r="A23" t="inlineStr">
        <is>
          <t>equity_snapshot</t>
        </is>
      </c>
      <c r="B23" t="inlineStr">
        <is>
          <t>shareholding_ratio</t>
        </is>
      </c>
      <c r="C23" t="inlineStr">
        <is>
          <t>str|null</t>
        </is>
      </c>
      <c r="D23" t="inlineStr"/>
    </row>
    <row r="24">
      <c r="A24" t="inlineStr">
        <is>
          <t>equity_snapshot</t>
        </is>
      </c>
      <c r="B24" t="inlineStr">
        <is>
          <t>snapshot_order</t>
        </is>
      </c>
      <c r="C24" t="inlineStr">
        <is>
          <t>int|null</t>
        </is>
      </c>
      <c r="D24" t="inlineStr"/>
    </row>
    <row r="25">
      <c r="A25" t="inlineStr">
        <is>
          <t>equity_snapshot</t>
        </is>
      </c>
      <c r="B25" t="inlineStr">
        <is>
          <t>shareholder_type_detail</t>
        </is>
      </c>
      <c r="C25" t="inlineStr">
        <is>
          <t>enum</t>
        </is>
      </c>
      <c r="D25" t="inlineStr"/>
    </row>
    <row r="26">
      <c r="A26" t="inlineStr">
        <is>
          <t>equity_snapshot</t>
        </is>
      </c>
      <c r="B26" t="inlineStr">
        <is>
          <t>is_original_founder</t>
        </is>
      </c>
      <c r="C26" t="inlineStr">
        <is>
          <t>yes/no/unknown</t>
        </is>
      </c>
      <c r="D26" t="inlineStr"/>
    </row>
    <row r="27">
      <c r="A27" t="inlineStr">
        <is>
          <t>equity_snapshot</t>
        </is>
      </c>
      <c r="B27" t="inlineStr">
        <is>
          <t>evidence_text</t>
        </is>
      </c>
      <c r="C27" t="inlineStr">
        <is>
          <t>str(min=20)</t>
        </is>
      </c>
      <c r="D27" t="inlineStr">
        <is>
          <t>✓</t>
        </is>
      </c>
    </row>
    <row r="29">
      <c r="A29" s="3">
        <f>== 以下为交叉校验结果 ===</f>
        <v/>
      </c>
    </row>
    <row r="34">
      <c r="A34" s="2" t="inlineStr">
        <is>
          <t>Cross-Check 结果（相邻时点股本追踪 + 认缴存量对应）</t>
        </is>
      </c>
    </row>
    <row r="36">
      <c r="A36" s="1" t="inlineStr">
        <is>
          <t>公司</t>
        </is>
      </c>
      <c r="B36" s="1" t="inlineStr">
        <is>
          <t>上一时点</t>
        </is>
      </c>
      <c r="C36" s="1" t="inlineStr">
        <is>
          <t>当前时点</t>
        </is>
      </c>
      <c r="D36" s="1" t="inlineStr">
        <is>
          <t>股东名称</t>
        </is>
      </c>
      <c r="E36" s="1" t="inlineStr">
        <is>
          <t>上一时点持股数
(万股)</t>
        </is>
      </c>
      <c r="F36" s="1" t="inlineStr">
        <is>
          <t>上一时点出资额
(万元注册资本)</t>
        </is>
      </c>
      <c r="G36" s="1" t="inlineStr">
        <is>
          <t>本次认缴/变化
(万股)</t>
        </is>
      </c>
      <c r="H36" s="1" t="inlineStr">
        <is>
          <t>预期变更后
持股数(万股)</t>
        </is>
      </c>
      <c r="I36" s="1" t="inlineStr">
        <is>
          <t>PDF披露
持股数(万股)</t>
        </is>
      </c>
      <c r="J36" s="1" t="inlineStr">
        <is>
          <t>差额(万股)</t>
        </is>
      </c>
      <c r="K36" s="1" t="inlineStr">
        <is>
          <t>状态</t>
        </is>
      </c>
      <c r="L36" s="1" t="inlineStr">
        <is>
          <t>说明</t>
        </is>
      </c>
    </row>
    <row r="37">
      <c r="A37" t="inlineStr">
        <is>
          <t>001282_三联锻造</t>
        </is>
      </c>
      <c r="B37" t="inlineStr">
        <is>
          <t>2004-06-18</t>
        </is>
      </c>
      <c r="C37" t="inlineStr">
        <is>
          <t>2014-05</t>
        </is>
      </c>
      <c r="D37" t="inlineStr">
        <is>
          <t>孙国奉</t>
        </is>
      </c>
      <c r="E37" t="inlineStr"/>
      <c r="F37" t="inlineStr">
        <is>
          <t>175.0</t>
        </is>
      </c>
      <c r="G37" t="inlineStr"/>
      <c r="H37" t="inlineStr"/>
      <c r="I37" t="inlineStr"/>
      <c r="J37" t="inlineStr"/>
      <c r="K37" t="inlineStr">
        <is>
          <t>PASS</t>
        </is>
      </c>
      <c r="L37" t="inlineStr"/>
    </row>
    <row r="38">
      <c r="A38" t="inlineStr">
        <is>
          <t>001282_三联锻造</t>
        </is>
      </c>
      <c r="B38" t="inlineStr">
        <is>
          <t>2004-06-18</t>
        </is>
      </c>
      <c r="C38" t="inlineStr">
        <is>
          <t>2014-05</t>
        </is>
      </c>
      <c r="D38" t="inlineStr">
        <is>
          <t>孙国敏</t>
        </is>
      </c>
      <c r="E38" t="inlineStr"/>
      <c r="F38" t="inlineStr">
        <is>
          <t>162.5</t>
        </is>
      </c>
      <c r="G38" t="inlineStr"/>
      <c r="H38" t="inlineStr"/>
      <c r="I38" t="inlineStr"/>
      <c r="J38" t="inlineStr"/>
      <c r="K38" t="inlineStr">
        <is>
          <t>PASS</t>
        </is>
      </c>
      <c r="L38" t="inlineStr">
        <is>
          <t>退出</t>
        </is>
      </c>
    </row>
    <row r="39">
      <c r="A39" t="inlineStr">
        <is>
          <t>001282_三联锻造</t>
        </is>
      </c>
      <c r="B39" t="inlineStr">
        <is>
          <t>2004-06-18</t>
        </is>
      </c>
      <c r="C39" t="inlineStr">
        <is>
          <t>2014-05</t>
        </is>
      </c>
      <c r="D39" t="inlineStr">
        <is>
          <t>张松满</t>
        </is>
      </c>
      <c r="E39" t="inlineStr"/>
      <c r="F39" t="inlineStr">
        <is>
          <t>162.5</t>
        </is>
      </c>
      <c r="G39" t="inlineStr"/>
      <c r="H39" t="inlineStr"/>
      <c r="I39" t="inlineStr"/>
      <c r="J39" t="inlineStr"/>
      <c r="K39" t="inlineStr">
        <is>
          <t>PASS</t>
        </is>
      </c>
      <c r="L39" t="inlineStr"/>
    </row>
    <row r="40">
      <c r="A40" t="inlineStr">
        <is>
          <t>301563_云汉芯城</t>
        </is>
      </c>
      <c r="B40" t="inlineStr">
        <is>
          <t>2008-05-07</t>
        </is>
      </c>
      <c r="C40" t="inlineStr">
        <is>
          <t>2014-08</t>
        </is>
      </c>
      <c r="D40" t="inlineStr">
        <is>
          <t>武汉力源信息技术股份有限公司</t>
        </is>
      </c>
      <c r="E40" t="inlineStr"/>
      <c r="F40" t="inlineStr"/>
      <c r="G40" t="inlineStr"/>
      <c r="H40" t="inlineStr"/>
      <c r="I40" t="inlineStr"/>
      <c r="J40" t="inlineStr"/>
      <c r="K40" t="inlineStr">
        <is>
          <t>PASS</t>
        </is>
      </c>
      <c r="L40" t="inlineStr">
        <is>
          <t>新增</t>
        </is>
      </c>
    </row>
    <row r="41">
      <c r="A41" t="inlineStr">
        <is>
          <t>301563_云汉芯城</t>
        </is>
      </c>
      <c r="B41" t="inlineStr">
        <is>
          <t>2008-05-07</t>
        </is>
      </c>
      <c r="C41" t="inlineStr">
        <is>
          <t>2014-08</t>
        </is>
      </c>
      <c r="D41" t="inlineStr">
        <is>
          <t>芜湖富海浩研创业投资基金（有限合伙）</t>
        </is>
      </c>
      <c r="E41" t="inlineStr"/>
      <c r="F41" t="inlineStr"/>
      <c r="G41" t="inlineStr"/>
      <c r="H41" t="inlineStr"/>
      <c r="I41" t="inlineStr"/>
      <c r="J41" t="inlineStr"/>
      <c r="K41" t="inlineStr">
        <is>
          <t>PASS</t>
        </is>
      </c>
      <c r="L41" t="inlineStr">
        <is>
          <t>新增</t>
        </is>
      </c>
    </row>
    <row r="42">
      <c r="A42" t="inlineStr">
        <is>
          <t>301563_云汉芯城</t>
        </is>
      </c>
      <c r="B42" t="inlineStr">
        <is>
          <t>2008-05-07</t>
        </is>
      </c>
      <c r="C42" t="inlineStr">
        <is>
          <t>2014-08</t>
        </is>
      </c>
      <c r="D42" t="inlineStr">
        <is>
          <t>深圳市云汉电子有限公司</t>
        </is>
      </c>
      <c r="E42" t="inlineStr"/>
      <c r="F42" t="inlineStr">
        <is>
          <t>25.0</t>
        </is>
      </c>
      <c r="G42" t="inlineStr"/>
      <c r="H42" t="inlineStr"/>
      <c r="I42" t="inlineStr"/>
      <c r="J42" t="inlineStr"/>
      <c r="K42" t="inlineStr">
        <is>
          <t>PASS</t>
        </is>
      </c>
      <c r="L42" t="inlineStr">
        <is>
          <t>退出</t>
        </is>
      </c>
    </row>
    <row r="43">
      <c r="A43" t="inlineStr">
        <is>
          <t>301563_云汉芯城</t>
        </is>
      </c>
      <c r="B43" t="inlineStr">
        <is>
          <t>2008-05-07</t>
        </is>
      </c>
      <c r="C43" t="inlineStr">
        <is>
          <t>2014-08</t>
        </is>
      </c>
      <c r="D43" t="inlineStr">
        <is>
          <t>东方富海（上海）创业投资企业（有限合伙）</t>
        </is>
      </c>
      <c r="E43" t="inlineStr"/>
      <c r="F43" t="inlineStr"/>
      <c r="G43" t="inlineStr"/>
      <c r="H43" t="inlineStr"/>
      <c r="I43" t="inlineStr"/>
      <c r="J43" t="inlineStr"/>
      <c r="K43" t="inlineStr">
        <is>
          <t>PASS</t>
        </is>
      </c>
      <c r="L43" t="inlineStr">
        <is>
          <t>新增</t>
        </is>
      </c>
    </row>
    <row r="44">
      <c r="A44" t="inlineStr">
        <is>
          <t>301563_云汉芯城</t>
        </is>
      </c>
      <c r="B44" t="inlineStr">
        <is>
          <t>2008-05-07</t>
        </is>
      </c>
      <c r="C44" t="inlineStr">
        <is>
          <t>2014-08</t>
        </is>
      </c>
      <c r="D44" t="inlineStr">
        <is>
          <t>刘云锋</t>
        </is>
      </c>
      <c r="E44" t="inlineStr"/>
      <c r="F44" t="inlineStr">
        <is>
          <t>25.0</t>
        </is>
      </c>
      <c r="G44" t="inlineStr"/>
      <c r="H44" t="inlineStr"/>
      <c r="I44" t="inlineStr"/>
      <c r="J44" t="inlineStr"/>
      <c r="K44" t="inlineStr">
        <is>
          <t>PASS</t>
        </is>
      </c>
      <c r="L44" t="inlineStr">
        <is>
          <t>退出</t>
        </is>
      </c>
    </row>
    <row r="45">
      <c r="A45" t="inlineStr">
        <is>
          <t>301563_云汉芯城</t>
        </is>
      </c>
      <c r="B45" t="inlineStr">
        <is>
          <t>2014-08</t>
        </is>
      </c>
      <c r="C45" t="inlineStr">
        <is>
          <t>2015-08</t>
        </is>
      </c>
      <c r="D45" t="inlineStr">
        <is>
          <t>武汉力源信息技术股份有限公司</t>
        </is>
      </c>
      <c r="E45" t="inlineStr"/>
      <c r="F45" t="inlineStr"/>
      <c r="G45" t="inlineStr"/>
      <c r="H45" t="inlineStr"/>
      <c r="I45" t="inlineStr"/>
      <c r="J45" t="inlineStr"/>
      <c r="K45" t="inlineStr">
        <is>
          <t>PASS</t>
        </is>
      </c>
      <c r="L45" t="inlineStr">
        <is>
          <t>退出</t>
        </is>
      </c>
    </row>
    <row r="46">
      <c r="A46" t="inlineStr">
        <is>
          <t>301563_云汉芯城</t>
        </is>
      </c>
      <c r="B46" t="inlineStr">
        <is>
          <t>2014-08</t>
        </is>
      </c>
      <c r="C46" t="inlineStr">
        <is>
          <t>2015-08</t>
        </is>
      </c>
      <c r="D46" t="inlineStr">
        <is>
          <t>芜湖富海浩研创业投资基金（有限合伙）</t>
        </is>
      </c>
      <c r="E46" t="inlineStr"/>
      <c r="F46" t="inlineStr"/>
      <c r="G46" t="inlineStr"/>
      <c r="H46" t="inlineStr"/>
      <c r="I46" t="inlineStr"/>
      <c r="J46" t="inlineStr"/>
      <c r="K46" t="inlineStr">
        <is>
          <t>PASS</t>
        </is>
      </c>
      <c r="L46" t="inlineStr">
        <is>
          <t>退出</t>
        </is>
      </c>
    </row>
    <row r="47">
      <c r="A47" t="inlineStr">
        <is>
          <t>301563_云汉芯城</t>
        </is>
      </c>
      <c r="B47" t="inlineStr">
        <is>
          <t>2014-08</t>
        </is>
      </c>
      <c r="C47" t="inlineStr">
        <is>
          <t>2015-08</t>
        </is>
      </c>
      <c r="D47" t="inlineStr">
        <is>
          <t>东方富海（上海）创业投资企业（有限合伙）</t>
        </is>
      </c>
      <c r="E47" t="inlineStr"/>
      <c r="F47" t="inlineStr"/>
      <c r="G47" t="inlineStr"/>
      <c r="H47" t="inlineStr"/>
      <c r="I47" t="inlineStr"/>
      <c r="J47" t="inlineStr"/>
      <c r="K47" t="inlineStr">
        <is>
          <t>PASS</t>
        </is>
      </c>
      <c r="L47" t="inlineStr">
        <is>
          <t>退出</t>
        </is>
      </c>
    </row>
    <row r="48">
      <c r="A48" t="inlineStr">
        <is>
          <t>301563_云汉芯城</t>
        </is>
      </c>
      <c r="B48" t="inlineStr">
        <is>
          <t>2014-08</t>
        </is>
      </c>
      <c r="C48" t="inlineStr">
        <is>
          <t>2015-08</t>
        </is>
      </c>
      <c r="D48" t="inlineStr">
        <is>
          <t>镇江红土创业投资有限公司</t>
        </is>
      </c>
      <c r="E48" t="inlineStr"/>
      <c r="F48" t="inlineStr"/>
      <c r="G48" t="inlineStr"/>
      <c r="H48" t="inlineStr"/>
      <c r="I48" t="inlineStr"/>
      <c r="J48" t="inlineStr"/>
      <c r="K48" t="inlineStr">
        <is>
          <t>PASS</t>
        </is>
      </c>
      <c r="L48" t="inlineStr">
        <is>
          <t>新增</t>
        </is>
      </c>
    </row>
    <row r="49">
      <c r="A49" t="inlineStr">
        <is>
          <t>301563_云汉芯城</t>
        </is>
      </c>
      <c r="B49" t="inlineStr">
        <is>
          <t>2014-08</t>
        </is>
      </c>
      <c r="C49" t="inlineStr">
        <is>
          <t>2015-08</t>
        </is>
      </c>
      <c r="D49" t="inlineStr">
        <is>
          <t>丰利财富（北京）国际资本管理股份有限公司</t>
        </is>
      </c>
      <c r="E49" t="inlineStr"/>
      <c r="F49" t="inlineStr"/>
      <c r="G49" t="inlineStr"/>
      <c r="H49" t="inlineStr"/>
      <c r="I49" t="inlineStr"/>
      <c r="J49" t="inlineStr"/>
      <c r="K49" t="inlineStr">
        <is>
          <t>PASS</t>
        </is>
      </c>
      <c r="L49" t="inlineStr">
        <is>
          <t>新增</t>
        </is>
      </c>
    </row>
    <row r="50">
      <c r="A50" t="inlineStr">
        <is>
          <t>301563_云汉芯城</t>
        </is>
      </c>
      <c r="B50" t="inlineStr">
        <is>
          <t>2014-08</t>
        </is>
      </c>
      <c r="C50" t="inlineStr">
        <is>
          <t>2015-08</t>
        </is>
      </c>
      <c r="D50" t="inlineStr">
        <is>
          <t>昆山红土高新创业投资有限公司</t>
        </is>
      </c>
      <c r="E50" t="inlineStr"/>
      <c r="F50" t="inlineStr"/>
      <c r="G50" t="inlineStr"/>
      <c r="H50" t="inlineStr"/>
      <c r="I50" t="inlineStr"/>
      <c r="J50" t="inlineStr"/>
      <c r="K50" t="inlineStr">
        <is>
          <t>PASS</t>
        </is>
      </c>
      <c r="L50" t="inlineStr">
        <is>
          <t>新增</t>
        </is>
      </c>
    </row>
    <row r="51">
      <c r="A51" t="inlineStr">
        <is>
          <t>301563_云汉芯城</t>
        </is>
      </c>
      <c r="B51" t="inlineStr">
        <is>
          <t>2014-08</t>
        </is>
      </c>
      <c r="C51" t="inlineStr">
        <is>
          <t>2015-08</t>
        </is>
      </c>
      <c r="D51" t="inlineStr">
        <is>
          <t>富海深湾（深圳）移动创新私募创业投资基金合伙企业（有限合伙）</t>
        </is>
      </c>
      <c r="E51" t="inlineStr"/>
      <c r="F51" t="inlineStr"/>
      <c r="G51" t="inlineStr"/>
      <c r="H51" t="inlineStr"/>
      <c r="I51" t="inlineStr"/>
      <c r="J51" t="inlineStr"/>
      <c r="K51" t="inlineStr">
        <is>
          <t>PASS</t>
        </is>
      </c>
      <c r="L51" t="inlineStr">
        <is>
          <t>新增</t>
        </is>
      </c>
    </row>
    <row r="52">
      <c r="A52" t="inlineStr">
        <is>
          <t>301563_云汉芯城</t>
        </is>
      </c>
      <c r="B52" t="inlineStr">
        <is>
          <t>2014-08</t>
        </is>
      </c>
      <c r="C52" t="inlineStr">
        <is>
          <t>2015-08</t>
        </is>
      </c>
      <c r="D52" t="inlineStr">
        <is>
          <t>深圳市创新投资集团有限公司</t>
        </is>
      </c>
      <c r="E52" t="inlineStr"/>
      <c r="F52" t="inlineStr"/>
      <c r="G52" t="inlineStr"/>
      <c r="H52" t="inlineStr"/>
      <c r="I52" t="inlineStr"/>
      <c r="J52" t="inlineStr"/>
      <c r="K52" t="inlineStr">
        <is>
          <t>PASS</t>
        </is>
      </c>
      <c r="L52" t="inlineStr">
        <is>
          <t>新增</t>
        </is>
      </c>
    </row>
    <row r="53">
      <c r="A53" t="inlineStr">
        <is>
          <t>301563_云汉芯城</t>
        </is>
      </c>
      <c r="B53" t="inlineStr">
        <is>
          <t>2015-08</t>
        </is>
      </c>
      <c r="C53" t="inlineStr">
        <is>
          <t>2015-12-03</t>
        </is>
      </c>
      <c r="D53" t="inlineStr">
        <is>
          <t>曾烨</t>
        </is>
      </c>
      <c r="E53" t="inlineStr"/>
      <c r="F53" t="inlineStr"/>
      <c r="G53" t="inlineStr"/>
      <c r="H53" t="inlineStr"/>
      <c r="I53" t="inlineStr"/>
      <c r="J53" t="inlineStr"/>
      <c r="K53" t="inlineStr">
        <is>
          <t>PASS</t>
        </is>
      </c>
      <c r="L53" t="inlineStr">
        <is>
          <t>新增</t>
        </is>
      </c>
    </row>
    <row r="54">
      <c r="A54" t="inlineStr">
        <is>
          <t>301563_云汉芯城</t>
        </is>
      </c>
      <c r="B54" t="inlineStr">
        <is>
          <t>2015-08</t>
        </is>
      </c>
      <c r="C54" t="inlineStr">
        <is>
          <t>2015-12-03</t>
        </is>
      </c>
      <c r="D54" t="inlineStr">
        <is>
          <t>武汉力源信息技术股份有限公司</t>
        </is>
      </c>
      <c r="E54" t="inlineStr"/>
      <c r="F54" t="inlineStr"/>
      <c r="G54" t="inlineStr"/>
      <c r="H54" t="inlineStr"/>
      <c r="I54" t="inlineStr"/>
      <c r="J54" t="inlineStr"/>
      <c r="K54" t="inlineStr">
        <is>
          <t>PASS</t>
        </is>
      </c>
      <c r="L54" t="inlineStr">
        <is>
          <t>新增</t>
        </is>
      </c>
    </row>
    <row r="55">
      <c r="A55" t="inlineStr">
        <is>
          <t>301563_云汉芯城</t>
        </is>
      </c>
      <c r="B55" t="inlineStr">
        <is>
          <t>2015-08</t>
        </is>
      </c>
      <c r="C55" t="inlineStr">
        <is>
          <t>2015-12-03</t>
        </is>
      </c>
      <c r="D55" t="inlineStr">
        <is>
          <t>丰利财富（北京）国际资本管理股份有限公司</t>
        </is>
      </c>
      <c r="E55" t="inlineStr"/>
      <c r="F55" t="inlineStr">
        <is>
          <t>1000.0</t>
        </is>
      </c>
      <c r="G55" t="inlineStr"/>
      <c r="H55" t="inlineStr"/>
      <c r="I55" t="inlineStr"/>
      <c r="J55" t="inlineStr"/>
      <c r="K55" t="inlineStr">
        <is>
          <t>PASS</t>
        </is>
      </c>
      <c r="L55" t="inlineStr">
        <is>
          <t>退出</t>
        </is>
      </c>
    </row>
    <row r="56">
      <c r="A56" t="inlineStr">
        <is>
          <t>301563_云汉芯城</t>
        </is>
      </c>
      <c r="B56" t="inlineStr">
        <is>
          <t>2015-08</t>
        </is>
      </c>
      <c r="C56" t="inlineStr">
        <is>
          <t>2015-12-03</t>
        </is>
      </c>
      <c r="D56" t="inlineStr">
        <is>
          <t>刘云锋</t>
        </is>
      </c>
      <c r="E56" t="inlineStr"/>
      <c r="F56" t="inlineStr"/>
      <c r="G56" t="inlineStr"/>
      <c r="H56" t="inlineStr"/>
      <c r="I56" t="inlineStr"/>
      <c r="J56" t="inlineStr"/>
      <c r="K56" t="inlineStr">
        <is>
          <t>PASS</t>
        </is>
      </c>
      <c r="L56" t="inlineStr">
        <is>
          <t>新增</t>
        </is>
      </c>
    </row>
    <row r="57">
      <c r="A57" t="inlineStr">
        <is>
          <t>301563_云汉芯城</t>
        </is>
      </c>
      <c r="B57" t="inlineStr">
        <is>
          <t>2015-08</t>
        </is>
      </c>
      <c r="C57" t="inlineStr">
        <is>
          <t>2015-12-03</t>
        </is>
      </c>
      <c r="D57" t="inlineStr">
        <is>
          <t>昆山红土高新创业投资有限公司</t>
        </is>
      </c>
      <c r="E57" t="inlineStr"/>
      <c r="F57" t="inlineStr"/>
      <c r="G57" t="inlineStr"/>
      <c r="H57" t="inlineStr"/>
      <c r="I57" t="inlineStr"/>
      <c r="J57" t="inlineStr"/>
      <c r="K57" t="inlineStr">
        <is>
          <t>PASS</t>
        </is>
      </c>
      <c r="L57" t="inlineStr">
        <is>
          <t>退出</t>
        </is>
      </c>
    </row>
    <row r="58">
      <c r="A58" t="inlineStr">
        <is>
          <t>301563_云汉芯城</t>
        </is>
      </c>
      <c r="B58" t="inlineStr">
        <is>
          <t>2015-08</t>
        </is>
      </c>
      <c r="C58" t="inlineStr">
        <is>
          <t>2015-12-03</t>
        </is>
      </c>
      <c r="D58" t="inlineStr">
        <is>
          <t>镇江红土创业投资有限公司</t>
        </is>
      </c>
      <c r="E58" t="inlineStr"/>
      <c r="F58" t="inlineStr"/>
      <c r="G58" t="inlineStr"/>
      <c r="H58" t="inlineStr"/>
      <c r="I58" t="inlineStr"/>
      <c r="J58" t="inlineStr"/>
      <c r="K58" t="inlineStr">
        <is>
          <t>PASS</t>
        </is>
      </c>
      <c r="L58" t="inlineStr">
        <is>
          <t>退出</t>
        </is>
      </c>
    </row>
    <row r="59">
      <c r="A59" t="inlineStr">
        <is>
          <t>301563_云汉芯城</t>
        </is>
      </c>
      <c r="B59" t="inlineStr">
        <is>
          <t>2015-08</t>
        </is>
      </c>
      <c r="C59" t="inlineStr">
        <is>
          <t>2015-12-03</t>
        </is>
      </c>
      <c r="D59" t="inlineStr">
        <is>
          <t>富海深湾（深圳）移动创新私募创业投资基金合伙企业（有限合伙）</t>
        </is>
      </c>
      <c r="E59" t="inlineStr"/>
      <c r="F59" t="inlineStr"/>
      <c r="G59" t="inlineStr"/>
      <c r="H59" t="inlineStr"/>
      <c r="I59" t="inlineStr"/>
      <c r="J59" t="inlineStr"/>
      <c r="K59" t="inlineStr">
        <is>
          <t>PASS</t>
        </is>
      </c>
      <c r="L59" t="inlineStr">
        <is>
          <t>退出</t>
        </is>
      </c>
    </row>
    <row r="60">
      <c r="A60" t="inlineStr">
        <is>
          <t>301563_云汉芯城</t>
        </is>
      </c>
      <c r="B60" t="inlineStr">
        <is>
          <t>2015-08</t>
        </is>
      </c>
      <c r="C60" t="inlineStr">
        <is>
          <t>2015-12-03</t>
        </is>
      </c>
      <c r="D60" t="inlineStr">
        <is>
          <t>深圳市创新投资集团有限公司</t>
        </is>
      </c>
      <c r="E60" t="inlineStr"/>
      <c r="F60" t="inlineStr"/>
      <c r="G60" t="inlineStr"/>
      <c r="H60" t="inlineStr"/>
      <c r="I60" t="inlineStr"/>
      <c r="J60" t="inlineStr"/>
      <c r="K60" t="inlineStr">
        <is>
          <t>PASS</t>
        </is>
      </c>
      <c r="L60" t="inlineStr">
        <is>
          <t>退出</t>
        </is>
      </c>
    </row>
    <row r="61">
      <c r="A61" t="inlineStr">
        <is>
          <t>301563_云汉芯城</t>
        </is>
      </c>
      <c r="B61" t="inlineStr">
        <is>
          <t>2015-12-03</t>
        </is>
      </c>
      <c r="C61" t="inlineStr">
        <is>
          <t>2018-06-28</t>
        </is>
      </c>
      <c r="D61" t="inlineStr">
        <is>
          <t>武汉力源信息技术股份有限公司</t>
        </is>
      </c>
      <c r="E61" t="inlineStr"/>
      <c r="F61" t="inlineStr"/>
      <c r="G61" t="inlineStr"/>
      <c r="H61" t="inlineStr"/>
      <c r="I61" t="inlineStr"/>
      <c r="J61" t="inlineStr"/>
      <c r="K61" t="inlineStr">
        <is>
          <t>PASS</t>
        </is>
      </c>
      <c r="L61" t="inlineStr">
        <is>
          <t>退出</t>
        </is>
      </c>
    </row>
    <row r="62">
      <c r="A62" t="inlineStr">
        <is>
          <t>301563_云汉芯城</t>
        </is>
      </c>
      <c r="B62" t="inlineStr">
        <is>
          <t>2015-12-03</t>
        </is>
      </c>
      <c r="C62" t="inlineStr">
        <is>
          <t>2018-06-28</t>
        </is>
      </c>
      <c r="D62" t="inlineStr">
        <is>
          <t>CASREV FUND</t>
        </is>
      </c>
      <c r="E62" t="inlineStr"/>
      <c r="F62" t="inlineStr"/>
      <c r="G62" t="inlineStr"/>
      <c r="H62" t="inlineStr"/>
      <c r="I62" t="inlineStr"/>
      <c r="J62" t="inlineStr"/>
      <c r="K62" t="inlineStr">
        <is>
          <t>PASS</t>
        </is>
      </c>
      <c r="L62" t="inlineStr">
        <is>
          <t>新增</t>
        </is>
      </c>
    </row>
    <row r="63">
      <c r="A63" t="inlineStr">
        <is>
          <t>301563_云汉芯城</t>
        </is>
      </c>
      <c r="B63" t="inlineStr">
        <is>
          <t>2015-12-03</t>
        </is>
      </c>
      <c r="C63" t="inlineStr">
        <is>
          <t>2018-06-28</t>
        </is>
      </c>
      <c r="D63" t="inlineStr">
        <is>
          <t>深圳南山富海中小企业发展基金合伙企业（有限合伙）</t>
        </is>
      </c>
      <c r="E63" t="inlineStr"/>
      <c r="F63" t="inlineStr"/>
      <c r="G63" t="inlineStr"/>
      <c r="H63" t="inlineStr"/>
      <c r="I63" t="inlineStr"/>
      <c r="J63" t="inlineStr"/>
      <c r="K63" t="inlineStr">
        <is>
          <t>PASS</t>
        </is>
      </c>
      <c r="L63" t="inlineStr">
        <is>
          <t>新增</t>
        </is>
      </c>
    </row>
    <row r="64">
      <c r="A64" t="inlineStr">
        <is>
          <t>301563_云汉芯城</t>
        </is>
      </c>
      <c r="B64" t="inlineStr">
        <is>
          <t>2015-12-03</t>
        </is>
      </c>
      <c r="C64" t="inlineStr">
        <is>
          <t>2018-06-28</t>
        </is>
      </c>
      <c r="D64" t="inlineStr">
        <is>
          <t>国科瑞华（北京）创业投资合伙企业（有限合伙）</t>
        </is>
      </c>
      <c r="E64" t="inlineStr"/>
      <c r="F64" t="inlineStr"/>
      <c r="G64" t="inlineStr"/>
      <c r="H64" t="inlineStr"/>
      <c r="I64" t="inlineStr"/>
      <c r="J64" t="inlineStr"/>
      <c r="K64" t="inlineStr">
        <is>
          <t>PASS</t>
        </is>
      </c>
      <c r="L64" t="inlineStr">
        <is>
          <t>新增</t>
        </is>
      </c>
    </row>
    <row r="65">
      <c r="A65" t="inlineStr">
        <is>
          <t>301563_云汉芯城</t>
        </is>
      </c>
      <c r="B65" t="inlineStr">
        <is>
          <t>2015-12-03</t>
        </is>
      </c>
      <c r="C65" t="inlineStr">
        <is>
          <t>2018-06-28</t>
        </is>
      </c>
      <c r="D65" t="inlineStr">
        <is>
          <t>中科贵银（贵州）创业投资中心（有限合伙）</t>
        </is>
      </c>
      <c r="E65" t="inlineStr"/>
      <c r="F65" t="inlineStr"/>
      <c r="G65" t="inlineStr"/>
      <c r="H65" t="inlineStr"/>
      <c r="I65" t="inlineStr"/>
      <c r="J65" t="inlineStr"/>
      <c r="K65" t="inlineStr">
        <is>
          <t>PASS</t>
        </is>
      </c>
      <c r="L65" t="inlineStr">
        <is>
          <t>新增</t>
        </is>
      </c>
    </row>
    <row r="66">
      <c r="A66" t="inlineStr">
        <is>
          <t>301563_云汉芯城</t>
        </is>
      </c>
      <c r="B66" t="inlineStr">
        <is>
          <t>2015-12-03</t>
        </is>
      </c>
      <c r="C66" t="inlineStr">
        <is>
          <t>2018-06-28</t>
        </is>
      </c>
      <c r="D66" t="inlineStr">
        <is>
          <t>珠海拓域投资合伙企业（有限合伙）</t>
        </is>
      </c>
      <c r="E66" t="inlineStr"/>
      <c r="F66" t="inlineStr"/>
      <c r="G66" t="inlineStr"/>
      <c r="H66" t="inlineStr"/>
      <c r="I66" t="inlineStr"/>
      <c r="J66" t="inlineStr"/>
      <c r="K66" t="inlineStr">
        <is>
          <t>PASS</t>
        </is>
      </c>
      <c r="L66" t="inlineStr">
        <is>
          <t>新增</t>
        </is>
      </c>
    </row>
    <row r="67">
      <c r="A67" t="inlineStr">
        <is>
          <t>301563_云汉芯城</t>
        </is>
      </c>
      <c r="B67" t="inlineStr">
        <is>
          <t>2015-12-03</t>
        </is>
      </c>
      <c r="C67" t="inlineStr">
        <is>
          <t>2018-06-28</t>
        </is>
      </c>
      <c r="D67" t="inlineStr">
        <is>
          <t>曾烨</t>
        </is>
      </c>
      <c r="E67" t="inlineStr"/>
      <c r="F67" t="inlineStr"/>
      <c r="G67" t="inlineStr"/>
      <c r="H67" t="inlineStr"/>
      <c r="I67" t="inlineStr"/>
      <c r="J67" t="inlineStr"/>
      <c r="K67" t="inlineStr">
        <is>
          <t>PASS</t>
        </is>
      </c>
      <c r="L67" t="inlineStr">
        <is>
          <t>退出</t>
        </is>
      </c>
    </row>
    <row r="68">
      <c r="A68" t="inlineStr">
        <is>
          <t>301563_云汉芯城</t>
        </is>
      </c>
      <c r="B68" t="inlineStr">
        <is>
          <t>2015-12-03</t>
        </is>
      </c>
      <c r="C68" t="inlineStr">
        <is>
          <t>2018-06-28</t>
        </is>
      </c>
      <c r="D68" t="inlineStr">
        <is>
          <t>夏东</t>
        </is>
      </c>
      <c r="E68" t="inlineStr"/>
      <c r="F68" t="inlineStr"/>
      <c r="G68" t="inlineStr"/>
      <c r="H68" t="inlineStr"/>
      <c r="I68" t="inlineStr"/>
      <c r="J68" t="inlineStr"/>
      <c r="K68" t="inlineStr">
        <is>
          <t>PASS</t>
        </is>
      </c>
      <c r="L68" t="inlineStr">
        <is>
          <t>新增</t>
        </is>
      </c>
    </row>
    <row r="69">
      <c r="A69" t="inlineStr">
        <is>
          <t>301563_云汉芯城</t>
        </is>
      </c>
      <c r="B69" t="inlineStr">
        <is>
          <t>2015-12-03</t>
        </is>
      </c>
      <c r="C69" t="inlineStr">
        <is>
          <t>2018-06-28</t>
        </is>
      </c>
      <c r="D69" t="inlineStr">
        <is>
          <t>刘云锋</t>
        </is>
      </c>
      <c r="E69" t="inlineStr"/>
      <c r="F69" t="inlineStr"/>
      <c r="G69" t="inlineStr"/>
      <c r="H69" t="inlineStr"/>
      <c r="I69" t="inlineStr"/>
      <c r="J69" t="inlineStr"/>
      <c r="K69" t="inlineStr">
        <is>
          <t>PASS</t>
        </is>
      </c>
      <c r="L69" t="inlineStr">
        <is>
          <t>退出</t>
        </is>
      </c>
    </row>
    <row r="70">
      <c r="A70" t="inlineStr">
        <is>
          <t>301563_云汉芯城</t>
        </is>
      </c>
      <c r="B70" t="inlineStr">
        <is>
          <t>2018-06-28</t>
        </is>
      </c>
      <c r="C70" t="inlineStr">
        <is>
          <t>2020-05-28</t>
        </is>
      </c>
      <c r="D70" t="inlineStr">
        <is>
          <t>CASREV FUND</t>
        </is>
      </c>
      <c r="E70" t="inlineStr"/>
      <c r="F70" t="inlineStr">
        <is>
          <t>1800.0</t>
        </is>
      </c>
      <c r="G70" t="inlineStr"/>
      <c r="H70" t="inlineStr"/>
      <c r="I70" t="inlineStr"/>
      <c r="J70" t="inlineStr"/>
      <c r="K70" t="inlineStr">
        <is>
          <t>PASS</t>
        </is>
      </c>
      <c r="L70" t="inlineStr">
        <is>
          <t>退出</t>
        </is>
      </c>
    </row>
    <row r="71">
      <c r="A71" t="inlineStr">
        <is>
          <t>301563_云汉芯城</t>
        </is>
      </c>
      <c r="B71" t="inlineStr">
        <is>
          <t>2018-06-28</t>
        </is>
      </c>
      <c r="C71" t="inlineStr">
        <is>
          <t>2020-05-28</t>
        </is>
      </c>
      <c r="D71" t="inlineStr">
        <is>
          <t>深圳南山富海中小企业发展基金合伙企业（有限合伙）</t>
        </is>
      </c>
      <c r="E71" t="inlineStr"/>
      <c r="F71" t="inlineStr">
        <is>
          <t>3000.0</t>
        </is>
      </c>
      <c r="G71" t="inlineStr"/>
      <c r="H71" t="inlineStr"/>
      <c r="I71" t="inlineStr"/>
      <c r="J71" t="inlineStr"/>
      <c r="K71" t="inlineStr">
        <is>
          <t>PASS</t>
        </is>
      </c>
      <c r="L71" t="inlineStr">
        <is>
          <t>退出</t>
        </is>
      </c>
    </row>
    <row r="72">
      <c r="A72" t="inlineStr">
        <is>
          <t>301563_云汉芯城</t>
        </is>
      </c>
      <c r="B72" t="inlineStr">
        <is>
          <t>2018-06-28</t>
        </is>
      </c>
      <c r="C72" t="inlineStr">
        <is>
          <t>2020-05-28</t>
        </is>
      </c>
      <c r="D72" t="inlineStr">
        <is>
          <t>国科瑞华（北京）创业投资合伙企业（有限合伙）</t>
        </is>
      </c>
      <c r="E72" t="inlineStr"/>
      <c r="F72" t="inlineStr">
        <is>
          <t>7412.0</t>
        </is>
      </c>
      <c r="G72" t="inlineStr"/>
      <c r="H72" t="inlineStr"/>
      <c r="I72" t="inlineStr"/>
      <c r="J72" t="inlineStr"/>
      <c r="K72" t="inlineStr">
        <is>
          <t>PASS</t>
        </is>
      </c>
      <c r="L72" t="inlineStr">
        <is>
          <t>退出</t>
        </is>
      </c>
    </row>
    <row r="73">
      <c r="A73" t="inlineStr">
        <is>
          <t>301563_云汉芯城</t>
        </is>
      </c>
      <c r="B73" t="inlineStr">
        <is>
          <t>2018-06-28</t>
        </is>
      </c>
      <c r="C73" t="inlineStr">
        <is>
          <t>2020-05-28</t>
        </is>
      </c>
      <c r="D73" t="inlineStr">
        <is>
          <t>中科贵银（贵州）创业投资中心（有限合伙）</t>
        </is>
      </c>
      <c r="E73" t="inlineStr"/>
      <c r="F73" t="inlineStr">
        <is>
          <t>1584.0</t>
        </is>
      </c>
      <c r="G73" t="inlineStr"/>
      <c r="H73" t="inlineStr"/>
      <c r="I73" t="inlineStr"/>
      <c r="J73" t="inlineStr"/>
      <c r="K73" t="inlineStr">
        <is>
          <t>PASS</t>
        </is>
      </c>
      <c r="L73" t="inlineStr">
        <is>
          <t>退出</t>
        </is>
      </c>
    </row>
    <row r="74">
      <c r="A74" t="inlineStr">
        <is>
          <t>301563_云汉芯城</t>
        </is>
      </c>
      <c r="B74" t="inlineStr">
        <is>
          <t>2018-06-28</t>
        </is>
      </c>
      <c r="C74" t="inlineStr">
        <is>
          <t>2020-05-28</t>
        </is>
      </c>
      <c r="D74" t="inlineStr">
        <is>
          <t>火炬电子科技股份有限公司</t>
        </is>
      </c>
      <c r="E74" t="inlineStr"/>
      <c r="F74" t="inlineStr"/>
      <c r="G74" t="inlineStr"/>
      <c r="H74" t="inlineStr"/>
      <c r="I74" t="inlineStr"/>
      <c r="J74" t="inlineStr"/>
      <c r="K74" t="inlineStr">
        <is>
          <t>PASS</t>
        </is>
      </c>
      <c r="L74" t="inlineStr">
        <is>
          <t>新增</t>
        </is>
      </c>
    </row>
    <row r="75">
      <c r="A75" t="inlineStr">
        <is>
          <t>301563_云汉芯城</t>
        </is>
      </c>
      <c r="B75" t="inlineStr">
        <is>
          <t>2018-06-28</t>
        </is>
      </c>
      <c r="C75" t="inlineStr">
        <is>
          <t>2020-05-28</t>
        </is>
      </c>
      <c r="D75" t="inlineStr">
        <is>
          <t>珠海拓域投资合伙企业（有限合伙）</t>
        </is>
      </c>
      <c r="E75" t="inlineStr"/>
      <c r="F75" t="inlineStr">
        <is>
          <t>1000.0</t>
        </is>
      </c>
      <c r="G75" t="inlineStr"/>
      <c r="H75" t="inlineStr"/>
      <c r="I75" t="inlineStr"/>
      <c r="J75" t="inlineStr"/>
      <c r="K75" t="inlineStr">
        <is>
          <t>PASS</t>
        </is>
      </c>
      <c r="L75" t="inlineStr">
        <is>
          <t>退出</t>
        </is>
      </c>
    </row>
    <row r="76">
      <c r="A76" t="inlineStr">
        <is>
          <t>301563_云汉芯城</t>
        </is>
      </c>
      <c r="B76" t="inlineStr">
        <is>
          <t>2018-06-28</t>
        </is>
      </c>
      <c r="C76" t="inlineStr">
        <is>
          <t>2020-05-28</t>
        </is>
      </c>
      <c r="D76" t="inlineStr">
        <is>
          <t>夏东</t>
        </is>
      </c>
      <c r="E76" t="inlineStr"/>
      <c r="F76" t="inlineStr">
        <is>
          <t>204.0</t>
        </is>
      </c>
      <c r="G76" t="inlineStr"/>
      <c r="H76" t="inlineStr"/>
      <c r="I76" t="inlineStr"/>
      <c r="J76" t="inlineStr"/>
      <c r="K76" t="inlineStr">
        <is>
          <t>PASS</t>
        </is>
      </c>
      <c r="L76" t="inlineStr">
        <is>
          <t>退出</t>
        </is>
      </c>
    </row>
    <row r="77">
      <c r="A77" t="inlineStr">
        <is>
          <t>301563_云汉芯城</t>
        </is>
      </c>
      <c r="B77" t="inlineStr">
        <is>
          <t>2020-05-28</t>
        </is>
      </c>
      <c r="C77" t="inlineStr">
        <is>
          <t>2020-09-23</t>
        </is>
      </c>
      <c r="D77" t="inlineStr">
        <is>
          <t>火炬电子科技股份有限公司</t>
        </is>
      </c>
      <c r="E77" t="inlineStr"/>
      <c r="F77" t="inlineStr">
        <is>
          <t>5000.0</t>
        </is>
      </c>
      <c r="G77" t="inlineStr"/>
      <c r="H77" t="inlineStr"/>
      <c r="I77" t="inlineStr"/>
      <c r="J77" t="inlineStr"/>
      <c r="K77" t="inlineStr">
        <is>
          <t>PASS</t>
        </is>
      </c>
      <c r="L77" t="inlineStr">
        <is>
          <t>退出</t>
        </is>
      </c>
    </row>
    <row r="78">
      <c r="A78" t="inlineStr">
        <is>
          <t>301563_云汉芯城</t>
        </is>
      </c>
      <c r="B78" t="inlineStr">
        <is>
          <t>2020-05-28</t>
        </is>
      </c>
      <c r="C78" t="inlineStr">
        <is>
          <t>2020-09-23</t>
        </is>
      </c>
      <c r="D78" t="inlineStr">
        <is>
          <t>厦门西堤股权投资合伙企业（有限合伙）</t>
        </is>
      </c>
      <c r="E78" t="inlineStr"/>
      <c r="F78" t="inlineStr"/>
      <c r="G78" t="inlineStr"/>
      <c r="H78" t="inlineStr"/>
      <c r="I78" t="inlineStr"/>
      <c r="J78" t="inlineStr"/>
      <c r="K78" t="inlineStr">
        <is>
          <t>PASS</t>
        </is>
      </c>
      <c r="L78" t="inlineStr">
        <is>
          <t>新增</t>
        </is>
      </c>
    </row>
    <row r="79">
      <c r="A79" t="inlineStr">
        <is>
          <t>301563_云汉芯城</t>
        </is>
      </c>
      <c r="B79" t="inlineStr">
        <is>
          <t>2020-05-28</t>
        </is>
      </c>
      <c r="C79" t="inlineStr">
        <is>
          <t>2020-09-23</t>
        </is>
      </c>
      <c r="D79" t="inlineStr">
        <is>
          <t>中小企业发展基金（深圳有限合伙）</t>
        </is>
      </c>
      <c r="E79" t="inlineStr"/>
      <c r="F79" t="inlineStr"/>
      <c r="G79" t="inlineStr"/>
      <c r="H79" t="inlineStr"/>
      <c r="I79" t="inlineStr"/>
      <c r="J79" t="inlineStr"/>
      <c r="K79" t="inlineStr">
        <is>
          <t>PASS</t>
        </is>
      </c>
      <c r="L79" t="inlineStr">
        <is>
          <t>新增</t>
        </is>
      </c>
    </row>
    <row r="80">
      <c r="A80" t="inlineStr">
        <is>
          <t>301581_黄山谷捷</t>
        </is>
      </c>
      <c r="B80" t="inlineStr">
        <is>
          <t>2012-06-12</t>
        </is>
      </c>
      <c r="C80" t="inlineStr">
        <is>
          <t>2021-04-07</t>
        </is>
      </c>
      <c r="D80" t="inlineStr">
        <is>
          <t>黄山供销集团有限公司</t>
        </is>
      </c>
      <c r="E80" t="inlineStr"/>
      <c r="F80" t="inlineStr"/>
      <c r="G80" t="inlineStr"/>
      <c r="H80" t="inlineStr"/>
      <c r="I80" t="inlineStr"/>
      <c r="J80" t="inlineStr"/>
      <c r="K80" t="inlineStr">
        <is>
          <t>PASS</t>
        </is>
      </c>
      <c r="L80" t="inlineStr">
        <is>
          <t>新增</t>
        </is>
      </c>
    </row>
    <row r="81">
      <c r="A81" t="inlineStr">
        <is>
          <t>301581_黄山谷捷</t>
        </is>
      </c>
      <c r="B81" t="inlineStr">
        <is>
          <t>2012-06-12</t>
        </is>
      </c>
      <c r="C81" t="inlineStr">
        <is>
          <t>2021-04-07</t>
        </is>
      </c>
      <c r="D81" t="inlineStr">
        <is>
          <t>张俊武</t>
        </is>
      </c>
      <c r="E81" t="inlineStr"/>
      <c r="F81" t="inlineStr"/>
      <c r="G81" t="inlineStr"/>
      <c r="H81" t="inlineStr"/>
      <c r="I81" t="inlineStr"/>
      <c r="J81" t="inlineStr"/>
      <c r="K81" t="inlineStr">
        <is>
          <t>PASS</t>
        </is>
      </c>
      <c r="L81" t="inlineStr">
        <is>
          <t>新增</t>
        </is>
      </c>
    </row>
    <row r="82">
      <c r="A82" t="inlineStr">
        <is>
          <t>301581_黄山谷捷</t>
        </is>
      </c>
      <c r="B82" t="inlineStr">
        <is>
          <t>2012-06-12</t>
        </is>
      </c>
      <c r="C82" t="inlineStr">
        <is>
          <t>2021-04-07</t>
        </is>
      </c>
      <c r="D82" t="inlineStr">
        <is>
          <t>周斌</t>
        </is>
      </c>
      <c r="E82" t="inlineStr"/>
      <c r="F82" t="inlineStr"/>
      <c r="G82" t="inlineStr"/>
      <c r="H82" t="inlineStr"/>
      <c r="I82" t="inlineStr"/>
      <c r="J82" t="inlineStr"/>
      <c r="K82" t="inlineStr">
        <is>
          <t>PASS</t>
        </is>
      </c>
      <c r="L82" t="inlineStr">
        <is>
          <t>新增</t>
        </is>
      </c>
    </row>
    <row r="83">
      <c r="A83" t="inlineStr">
        <is>
          <t>301581_黄山谷捷</t>
        </is>
      </c>
      <c r="B83" t="inlineStr">
        <is>
          <t>2012-06-12</t>
        </is>
      </c>
      <c r="C83" t="inlineStr">
        <is>
          <t>2021-04-07</t>
        </is>
      </c>
      <c r="D83" t="inlineStr">
        <is>
          <t>昆山谷捷金属制品有限公司</t>
        </is>
      </c>
      <c r="E83" t="inlineStr"/>
      <c r="F83" t="inlineStr">
        <is>
          <t>1000.0</t>
        </is>
      </c>
      <c r="G83" t="inlineStr"/>
      <c r="H83" t="inlineStr"/>
      <c r="I83" t="inlineStr"/>
      <c r="J83" t="inlineStr"/>
      <c r="K83" t="inlineStr">
        <is>
          <t>PASS</t>
        </is>
      </c>
      <c r="L83" t="inlineStr">
        <is>
          <t>退出</t>
        </is>
      </c>
    </row>
    <row r="84">
      <c r="A84" t="inlineStr">
        <is>
          <t>301581_黄山谷捷</t>
        </is>
      </c>
      <c r="B84" t="inlineStr">
        <is>
          <t>2021-04-07</t>
        </is>
      </c>
      <c r="C84" t="inlineStr">
        <is>
          <t>2021-04-13</t>
        </is>
      </c>
      <c r="D84" t="inlineStr">
        <is>
          <t>黄山供销集团有限公司</t>
        </is>
      </c>
      <c r="E84" t="inlineStr"/>
      <c r="F84" t="inlineStr"/>
      <c r="G84" t="inlineStr"/>
      <c r="H84" t="inlineStr"/>
      <c r="I84" t="inlineStr"/>
      <c r="J84" t="inlineStr"/>
      <c r="K84" t="inlineStr">
        <is>
          <t>PASS</t>
        </is>
      </c>
      <c r="L84" t="inlineStr"/>
    </row>
    <row r="85">
      <c r="A85" t="inlineStr">
        <is>
          <t>301581_黄山谷捷</t>
        </is>
      </c>
      <c r="B85" t="inlineStr">
        <is>
          <t>2021-04-07</t>
        </is>
      </c>
      <c r="C85" t="inlineStr">
        <is>
          <t>2021-04-13</t>
        </is>
      </c>
      <c r="D85" t="inlineStr">
        <is>
          <t>张俊武</t>
        </is>
      </c>
      <c r="E85" t="inlineStr"/>
      <c r="F85" t="inlineStr"/>
      <c r="G85" t="inlineStr"/>
      <c r="H85" t="inlineStr"/>
      <c r="I85" t="inlineStr"/>
      <c r="J85" t="inlineStr"/>
      <c r="K85" t="inlineStr">
        <is>
          <t>PASS</t>
        </is>
      </c>
      <c r="L85" t="inlineStr"/>
    </row>
    <row r="86">
      <c r="A86" t="inlineStr">
        <is>
          <t>301581_黄山谷捷</t>
        </is>
      </c>
      <c r="B86" t="inlineStr">
        <is>
          <t>2021-04-07</t>
        </is>
      </c>
      <c r="C86" t="inlineStr">
        <is>
          <t>2021-04-13</t>
        </is>
      </c>
      <c r="D86" t="inlineStr">
        <is>
          <t>周斌</t>
        </is>
      </c>
      <c r="E86" t="inlineStr"/>
      <c r="F86" t="inlineStr"/>
      <c r="G86" t="inlineStr"/>
      <c r="H86" t="inlineStr"/>
      <c r="I86" t="inlineStr"/>
      <c r="J86" t="inlineStr"/>
      <c r="K86" t="inlineStr">
        <is>
          <t>PASS</t>
        </is>
      </c>
      <c r="L86" t="inlineStr"/>
    </row>
    <row r="87">
      <c r="A87" t="inlineStr">
        <is>
          <t>301581_黄山谷捷</t>
        </is>
      </c>
      <c r="B87" t="inlineStr">
        <is>
          <t>2021-04-13</t>
        </is>
      </c>
      <c r="C87" t="inlineStr">
        <is>
          <t>2021-11-11</t>
        </is>
      </c>
      <c r="D87" t="inlineStr">
        <is>
          <t>黄山供销集团有限公司</t>
        </is>
      </c>
      <c r="E87" t="inlineStr"/>
      <c r="F87" t="inlineStr"/>
      <c r="G87" t="inlineStr"/>
      <c r="H87" t="inlineStr"/>
      <c r="I87" t="inlineStr"/>
      <c r="J87" t="inlineStr"/>
      <c r="K87" t="inlineStr">
        <is>
          <t>PASS</t>
        </is>
      </c>
      <c r="L87" t="inlineStr">
        <is>
          <t>退出</t>
        </is>
      </c>
    </row>
    <row r="88">
      <c r="A88" t="inlineStr">
        <is>
          <t>301581_黄山谷捷</t>
        </is>
      </c>
      <c r="B88" t="inlineStr">
        <is>
          <t>2021-04-13</t>
        </is>
      </c>
      <c r="C88" t="inlineStr">
        <is>
          <t>2021-11-11</t>
        </is>
      </c>
      <c r="D88" t="inlineStr">
        <is>
          <t>上海广弘实业有限公司</t>
        </is>
      </c>
      <c r="E88" t="inlineStr"/>
      <c r="F88" t="inlineStr"/>
      <c r="G88" t="inlineStr"/>
      <c r="H88" t="inlineStr"/>
      <c r="I88" t="inlineStr"/>
      <c r="J88" t="inlineStr"/>
      <c r="K88" t="inlineStr">
        <is>
          <t>PASS</t>
        </is>
      </c>
      <c r="L88" t="inlineStr">
        <is>
          <t>新增</t>
        </is>
      </c>
    </row>
    <row r="89">
      <c r="A89" t="inlineStr">
        <is>
          <t>301581_黄山谷捷</t>
        </is>
      </c>
      <c r="B89" t="inlineStr">
        <is>
          <t>2021-04-13</t>
        </is>
      </c>
      <c r="C89" t="inlineStr">
        <is>
          <t>2021-11-11</t>
        </is>
      </c>
      <c r="D89" t="inlineStr">
        <is>
          <t>SAIC TECHNOLOGIES FUND II, LLC</t>
        </is>
      </c>
      <c r="E89" t="inlineStr"/>
      <c r="F89" t="inlineStr"/>
      <c r="G89" t="inlineStr"/>
      <c r="H89" t="inlineStr"/>
      <c r="I89" t="inlineStr"/>
      <c r="J89" t="inlineStr"/>
      <c r="K89" t="inlineStr">
        <is>
          <t>PASS</t>
        </is>
      </c>
      <c r="L89" t="inlineStr">
        <is>
          <t>新增</t>
        </is>
      </c>
    </row>
    <row r="90">
      <c r="A90" t="inlineStr">
        <is>
          <t>301581_黄山谷捷</t>
        </is>
      </c>
      <c r="B90" t="inlineStr">
        <is>
          <t>2021-04-13</t>
        </is>
      </c>
      <c r="C90" t="inlineStr">
        <is>
          <t>2021-11-11</t>
        </is>
      </c>
      <c r="D90" t="inlineStr">
        <is>
          <t>张俊武</t>
        </is>
      </c>
      <c r="E90" t="inlineStr"/>
      <c r="F90" t="inlineStr"/>
      <c r="G90" t="inlineStr"/>
      <c r="H90" t="inlineStr"/>
      <c r="I90" t="inlineStr"/>
      <c r="J90" t="inlineStr"/>
      <c r="K90" t="inlineStr">
        <is>
          <t>PASS</t>
        </is>
      </c>
      <c r="L90" t="inlineStr">
        <is>
          <t>退出</t>
        </is>
      </c>
    </row>
    <row r="91">
      <c r="A91" t="inlineStr">
        <is>
          <t>301581_黄山谷捷</t>
        </is>
      </c>
      <c r="B91" t="inlineStr">
        <is>
          <t>2021-04-13</t>
        </is>
      </c>
      <c r="C91" t="inlineStr">
        <is>
          <t>2021-11-11</t>
        </is>
      </c>
      <c r="D91" t="inlineStr">
        <is>
          <t>周斌</t>
        </is>
      </c>
      <c r="E91" t="inlineStr"/>
      <c r="F91" t="inlineStr"/>
      <c r="G91" t="inlineStr"/>
      <c r="H91" t="inlineStr"/>
      <c r="I91" t="inlineStr"/>
      <c r="J91" t="inlineStr"/>
      <c r="K91" t="inlineStr">
        <is>
          <t>PASS</t>
        </is>
      </c>
      <c r="L91" t="inlineStr">
        <is>
          <t>退出</t>
        </is>
      </c>
    </row>
    <row r="92">
      <c r="A92" t="inlineStr">
        <is>
          <t>301581_黄山谷捷</t>
        </is>
      </c>
      <c r="B92" t="inlineStr">
        <is>
          <t>2021-11-11</t>
        </is>
      </c>
      <c r="C92" t="inlineStr">
        <is>
          <t>2022-05-26</t>
        </is>
      </c>
      <c r="D92" t="inlineStr">
        <is>
          <t>黄山佳捷股权管理中心（有限合伙）</t>
        </is>
      </c>
      <c r="E92" t="inlineStr"/>
      <c r="F92" t="inlineStr"/>
      <c r="G92" t="inlineStr"/>
      <c r="H92" t="inlineStr"/>
      <c r="I92" t="inlineStr"/>
      <c r="J92" t="inlineStr"/>
      <c r="K92" t="inlineStr">
        <is>
          <t>PASS</t>
        </is>
      </c>
      <c r="L92" t="inlineStr">
        <is>
          <t>新增</t>
        </is>
      </c>
    </row>
    <row r="93">
      <c r="A93" t="inlineStr">
        <is>
          <t>301581_黄山谷捷</t>
        </is>
      </c>
      <c r="B93" t="inlineStr">
        <is>
          <t>2021-11-11</t>
        </is>
      </c>
      <c r="C93" t="inlineStr">
        <is>
          <t>2022-05-26</t>
        </is>
      </c>
      <c r="D93" t="inlineStr">
        <is>
          <t>上海广弘实业有限公司</t>
        </is>
      </c>
      <c r="E93" t="inlineStr"/>
      <c r="F93" t="inlineStr">
        <is>
          <t>10377.0</t>
        </is>
      </c>
      <c r="G93" t="inlineStr"/>
      <c r="H93" t="inlineStr"/>
      <c r="I93" t="inlineStr"/>
      <c r="J93" t="inlineStr"/>
      <c r="K93" t="inlineStr">
        <is>
          <t>PASS</t>
        </is>
      </c>
      <c r="L93" t="inlineStr">
        <is>
          <t>退出</t>
        </is>
      </c>
    </row>
    <row r="94">
      <c r="A94" t="inlineStr">
        <is>
          <t>301581_黄山谷捷</t>
        </is>
      </c>
      <c r="B94" t="inlineStr">
        <is>
          <t>2021-11-11</t>
        </is>
      </c>
      <c r="C94" t="inlineStr">
        <is>
          <t>2022-05-26</t>
        </is>
      </c>
      <c r="D94" t="inlineStr">
        <is>
          <t>SAIC TECHNOLOGIES FUND II, LLC</t>
        </is>
      </c>
      <c r="E94" t="inlineStr"/>
      <c r="F94" t="inlineStr">
        <is>
          <t>1153.0</t>
        </is>
      </c>
      <c r="G94" t="inlineStr"/>
      <c r="H94" t="inlineStr"/>
      <c r="I94" t="inlineStr"/>
      <c r="J94" t="inlineStr"/>
      <c r="K94" t="inlineStr">
        <is>
          <t>PASS</t>
        </is>
      </c>
      <c r="L94" t="inlineStr">
        <is>
          <t>退出</t>
        </is>
      </c>
    </row>
    <row r="95">
      <c r="A95" t="inlineStr">
        <is>
          <t>301581_黄山谷捷</t>
        </is>
      </c>
      <c r="B95" t="inlineStr">
        <is>
          <t>2022-05-26</t>
        </is>
      </c>
      <c r="C95" t="inlineStr">
        <is>
          <t>2022-09-13</t>
        </is>
      </c>
      <c r="D95" t="inlineStr">
        <is>
          <t>黄山供销集团有限公司</t>
        </is>
      </c>
      <c r="E95" t="inlineStr"/>
      <c r="F95" t="inlineStr"/>
      <c r="G95" t="inlineStr"/>
      <c r="H95" t="inlineStr"/>
      <c r="I95" t="inlineStr"/>
      <c r="J95" t="inlineStr"/>
      <c r="K95" t="inlineStr">
        <is>
          <t>PASS</t>
        </is>
      </c>
      <c r="L95" t="inlineStr">
        <is>
          <t>新增</t>
        </is>
      </c>
    </row>
    <row r="96">
      <c r="A96" t="inlineStr">
        <is>
          <t>301581_黄山谷捷</t>
        </is>
      </c>
      <c r="B96" t="inlineStr">
        <is>
          <t>2022-05-26</t>
        </is>
      </c>
      <c r="C96" t="inlineStr">
        <is>
          <t>2022-09-13</t>
        </is>
      </c>
      <c r="D96" t="inlineStr">
        <is>
          <t>周斌</t>
        </is>
      </c>
      <c r="E96" t="inlineStr"/>
      <c r="F96" t="inlineStr"/>
      <c r="G96" t="inlineStr"/>
      <c r="H96" t="inlineStr"/>
      <c r="I96" t="inlineStr"/>
      <c r="J96" t="inlineStr"/>
      <c r="K96" t="inlineStr">
        <is>
          <t>PASS</t>
        </is>
      </c>
      <c r="L96" t="inlineStr">
        <is>
          <t>新增</t>
        </is>
      </c>
    </row>
    <row r="97">
      <c r="A97" t="inlineStr">
        <is>
          <t>301581_黄山谷捷</t>
        </is>
      </c>
      <c r="B97" t="inlineStr">
        <is>
          <t>2022-05-26</t>
        </is>
      </c>
      <c r="C97" t="inlineStr">
        <is>
          <t>2022-09-13</t>
        </is>
      </c>
      <c r="D97" t="inlineStr">
        <is>
          <t>上海广弘实业有限公司</t>
        </is>
      </c>
      <c r="E97" t="inlineStr"/>
      <c r="F97" t="inlineStr"/>
      <c r="G97" t="inlineStr"/>
      <c r="H97" t="inlineStr"/>
      <c r="I97" t="inlineStr"/>
      <c r="J97" t="inlineStr"/>
      <c r="K97" t="inlineStr">
        <is>
          <t>PASS</t>
        </is>
      </c>
      <c r="L97" t="inlineStr">
        <is>
          <t>新增</t>
        </is>
      </c>
    </row>
    <row r="98">
      <c r="A98" t="inlineStr">
        <is>
          <t>301581_黄山谷捷</t>
        </is>
      </c>
      <c r="B98" t="inlineStr">
        <is>
          <t>2022-05-26</t>
        </is>
      </c>
      <c r="C98" t="inlineStr">
        <is>
          <t>2022-09-13</t>
        </is>
      </c>
      <c r="D98" t="inlineStr">
        <is>
          <t>黄山佳捷股权管理中心（有限合伙）</t>
        </is>
      </c>
      <c r="E98" t="inlineStr"/>
      <c r="F98" t="inlineStr">
        <is>
          <t>2124.81</t>
        </is>
      </c>
      <c r="G98" t="inlineStr"/>
      <c r="H98" t="inlineStr"/>
      <c r="I98" t="inlineStr"/>
      <c r="J98" t="inlineStr"/>
      <c r="K98" t="inlineStr">
        <is>
          <t>PASS</t>
        </is>
      </c>
      <c r="L98" t="inlineStr"/>
    </row>
    <row r="99">
      <c r="A99" t="inlineStr">
        <is>
          <t>301581_黄山谷捷</t>
        </is>
      </c>
      <c r="B99" t="inlineStr">
        <is>
          <t>2022-05-26</t>
        </is>
      </c>
      <c r="C99" t="inlineStr">
        <is>
          <t>2022-09-13</t>
        </is>
      </c>
      <c r="D99" t="inlineStr">
        <is>
          <t>张俊武</t>
        </is>
      </c>
      <c r="E99" t="inlineStr"/>
      <c r="F99" t="inlineStr"/>
      <c r="G99" t="inlineStr"/>
      <c r="H99" t="inlineStr"/>
      <c r="I99" t="inlineStr"/>
      <c r="J99" t="inlineStr"/>
      <c r="K99" t="inlineStr">
        <is>
          <t>PASS</t>
        </is>
      </c>
      <c r="L99" t="inlineStr">
        <is>
          <t>新增</t>
        </is>
      </c>
    </row>
    <row r="100">
      <c r="A100" t="inlineStr">
        <is>
          <t>301581_黄山谷捷</t>
        </is>
      </c>
      <c r="B100" t="inlineStr">
        <is>
          <t>2022-05-26</t>
        </is>
      </c>
      <c r="C100" t="inlineStr">
        <is>
          <t>2022-09-13</t>
        </is>
      </c>
      <c r="D100" t="inlineStr">
        <is>
          <t>SAIC TECHNOLOGIES FUND II, LLC</t>
        </is>
      </c>
      <c r="E100" t="inlineStr"/>
      <c r="F100" t="inlineStr"/>
      <c r="G100" t="inlineStr"/>
      <c r="H100" t="inlineStr"/>
      <c r="I100" t="inlineStr"/>
      <c r="J100" t="inlineStr"/>
      <c r="K100" t="inlineStr">
        <is>
          <t>PASS</t>
        </is>
      </c>
      <c r="L100" t="inlineStr">
        <is>
          <t>新增</t>
        </is>
      </c>
    </row>
    <row r="101">
      <c r="A101" t="inlineStr">
        <is>
          <t>603418_友升股份</t>
        </is>
      </c>
      <c r="B101" t="inlineStr"/>
      <c r="C101" t="inlineStr">
        <is>
          <t>2020-09-27</t>
        </is>
      </c>
      <c r="D101" t="inlineStr">
        <is>
          <t>上海金浦临港智能科技股权投资基金合伙企业(有限合伙)</t>
        </is>
      </c>
      <c r="E101" t="inlineStr"/>
      <c r="F101" t="inlineStr"/>
      <c r="G101" t="inlineStr">
        <is>
          <t>840.0</t>
        </is>
      </c>
      <c r="H101" t="inlineStr">
        <is>
          <t>6999.972</t>
        </is>
      </c>
      <c r="I101" t="inlineStr">
        <is>
          <t>7000.0</t>
        </is>
      </c>
      <c r="J101" t="inlineStr">
        <is>
          <t>-0.028</t>
        </is>
      </c>
      <c r="K101" t="inlineStr">
        <is>
          <t>PASS</t>
        </is>
      </c>
      <c r="L101" t="inlineStr">
        <is>
          <t>price×shares vs amount diff=0.0%</t>
        </is>
      </c>
    </row>
    <row r="102">
      <c r="A102" t="inlineStr">
        <is>
          <t>603418_友升股份</t>
        </is>
      </c>
      <c r="B102" t="inlineStr"/>
      <c r="C102" t="inlineStr">
        <is>
          <t>2020-09-27</t>
        </is>
      </c>
      <c r="D102" t="inlineStr">
        <is>
          <t>上海金浦科技创业股权投资基金合伙企业(有限合伙)</t>
        </is>
      </c>
      <c r="E102" t="inlineStr"/>
      <c r="F102" t="inlineStr"/>
      <c r="G102" t="inlineStr">
        <is>
          <t>360.0</t>
        </is>
      </c>
      <c r="H102" t="inlineStr">
        <is>
          <t>2999.988</t>
        </is>
      </c>
      <c r="I102" t="inlineStr">
        <is>
          <t>3000.0</t>
        </is>
      </c>
      <c r="J102" t="inlineStr">
        <is>
          <t>-0.012</t>
        </is>
      </c>
      <c r="K102" t="inlineStr">
        <is>
          <t>PASS</t>
        </is>
      </c>
      <c r="L102" t="inlineStr">
        <is>
          <t>price×shares vs amount diff=0.0%</t>
        </is>
      </c>
    </row>
    <row r="103">
      <c r="A103" t="inlineStr">
        <is>
          <t>603418_友升股份</t>
        </is>
      </c>
      <c r="B103" t="inlineStr"/>
      <c r="C103" t="inlineStr">
        <is>
          <t>2020-09-27</t>
        </is>
      </c>
      <c r="D103" t="inlineStr">
        <is>
          <t>上海骁墨信息技术服务中心(有限合伙)</t>
        </is>
      </c>
      <c r="E103" t="inlineStr"/>
      <c r="F103" t="inlineStr"/>
      <c r="G103" t="inlineStr">
        <is>
          <t>180.0</t>
        </is>
      </c>
      <c r="H103" t="inlineStr">
        <is>
          <t>1499.994</t>
        </is>
      </c>
      <c r="I103" t="inlineStr">
        <is>
          <t>1500.0</t>
        </is>
      </c>
      <c r="J103" t="inlineStr">
        <is>
          <t>-0.006</t>
        </is>
      </c>
      <c r="K103" t="inlineStr">
        <is>
          <t>PASS</t>
        </is>
      </c>
      <c r="L103" t="inlineStr">
        <is>
          <t>price×shares vs amount diff=0.0%</t>
        </is>
      </c>
    </row>
    <row r="104">
      <c r="A104" t="inlineStr">
        <is>
          <t>603418_友升股份</t>
        </is>
      </c>
      <c r="B104" t="inlineStr"/>
      <c r="C104" t="inlineStr">
        <is>
          <t>2022-12-19</t>
        </is>
      </c>
      <c r="D104" t="inlineStr">
        <is>
          <t>深圳市杉晖创业投资合伙企业(有限合伙)</t>
        </is>
      </c>
      <c r="E104" t="inlineStr"/>
      <c r="F104" t="inlineStr"/>
      <c r="G104" t="inlineStr">
        <is>
          <t>297.3333</t>
        </is>
      </c>
      <c r="H104" t="inlineStr">
        <is>
          <t>10000.0027</t>
        </is>
      </c>
      <c r="I104" t="inlineStr">
        <is>
          <t>10000.0</t>
        </is>
      </c>
      <c r="J104" t="inlineStr">
        <is>
          <t>0.0027</t>
        </is>
      </c>
      <c r="K104" t="inlineStr">
        <is>
          <t>PASS</t>
        </is>
      </c>
      <c r="L104" t="inlineStr">
        <is>
          <t>price×shares vs amount diff=0.0%</t>
        </is>
      </c>
    </row>
    <row r="105">
      <c r="A105" t="inlineStr">
        <is>
          <t>603418_友升股份</t>
        </is>
      </c>
      <c r="B105" t="inlineStr"/>
      <c r="C105" t="inlineStr">
        <is>
          <t>2022-12-19</t>
        </is>
      </c>
      <c r="D105" t="inlineStr">
        <is>
          <t>上海联炻企业管理中心(有限合伙)</t>
        </is>
      </c>
      <c r="E105" t="inlineStr"/>
      <c r="F105" t="inlineStr"/>
      <c r="G105" t="inlineStr">
        <is>
          <t>297.3333</t>
        </is>
      </c>
      <c r="H105" t="inlineStr">
        <is>
          <t>10000.0027</t>
        </is>
      </c>
      <c r="I105" t="inlineStr">
        <is>
          <t>10000.0</t>
        </is>
      </c>
      <c r="J105" t="inlineStr">
        <is>
          <t>0.0027</t>
        </is>
      </c>
      <c r="K105" t="inlineStr">
        <is>
          <t>PASS</t>
        </is>
      </c>
      <c r="L105" t="inlineStr">
        <is>
          <t>price×shares vs amount diff=0.0%</t>
        </is>
      </c>
    </row>
    <row r="106">
      <c r="A106" t="inlineStr">
        <is>
          <t>603418_友升股份</t>
        </is>
      </c>
      <c r="B106" t="inlineStr"/>
      <c r="C106" t="inlineStr">
        <is>
          <t>2022-12-19</t>
        </is>
      </c>
      <c r="D106" t="inlineStr">
        <is>
          <t>安吉璞颉企业管理合伙企业(有限合伙)</t>
        </is>
      </c>
      <c r="E106" t="inlineStr"/>
      <c r="F106" t="inlineStr"/>
      <c r="G106" t="inlineStr">
        <is>
          <t>148.6667</t>
        </is>
      </c>
      <c r="H106" t="inlineStr">
        <is>
          <t>5000.0031</t>
        </is>
      </c>
      <c r="I106" t="inlineStr">
        <is>
          <t>5000.0</t>
        </is>
      </c>
      <c r="J106" t="inlineStr">
        <is>
          <t>0.0031</t>
        </is>
      </c>
      <c r="K106" t="inlineStr">
        <is>
          <t>PASS</t>
        </is>
      </c>
      <c r="L106" t="inlineStr">
        <is>
          <t>price×shares vs amount diff=0.0%</t>
        </is>
      </c>
    </row>
    <row r="107">
      <c r="A107" t="inlineStr">
        <is>
          <t>603418_友升股份</t>
        </is>
      </c>
      <c r="B107" t="inlineStr"/>
      <c r="C107" t="inlineStr">
        <is>
          <t>2022-12-19</t>
        </is>
      </c>
      <c r="D107" t="inlineStr">
        <is>
          <t>江西赣江新区财投晨源股权投资中心(有限合伙)</t>
        </is>
      </c>
      <c r="E107" t="inlineStr"/>
      <c r="F107" t="inlineStr"/>
      <c r="G107" t="inlineStr">
        <is>
          <t>89.2</t>
        </is>
      </c>
      <c r="H107" t="inlineStr">
        <is>
          <t>3000.0012</t>
        </is>
      </c>
      <c r="I107" t="inlineStr">
        <is>
          <t>3000.0</t>
        </is>
      </c>
      <c r="J107" t="inlineStr">
        <is>
          <t>0.0012</t>
        </is>
      </c>
      <c r="K107" t="inlineStr">
        <is>
          <t>PASS</t>
        </is>
      </c>
      <c r="L107" t="inlineStr">
        <is>
          <t>price×shares vs amount diff=0.0%</t>
        </is>
      </c>
    </row>
    <row r="108">
      <c r="A108" t="inlineStr">
        <is>
          <t>603418_友升股份</t>
        </is>
      </c>
      <c r="B108" t="inlineStr"/>
      <c r="C108" t="inlineStr">
        <is>
          <t>2022-12-19</t>
        </is>
      </c>
      <c r="D108" t="inlineStr">
        <is>
          <t>深圳市达晨创程私募股权投资基金企业(有限合伙)</t>
        </is>
      </c>
      <c r="E108" t="inlineStr"/>
      <c r="F108" t="inlineStr"/>
      <c r="G108" t="inlineStr">
        <is>
          <t>86.5984</t>
        </is>
      </c>
      <c r="H108" t="inlineStr">
        <is>
          <t>2912.5034</t>
        </is>
      </c>
      <c r="I108" t="inlineStr">
        <is>
          <t>2912.5</t>
        </is>
      </c>
      <c r="J108" t="inlineStr">
        <is>
          <t>0.0034</t>
        </is>
      </c>
      <c r="K108" t="inlineStr">
        <is>
          <t>PASS</t>
        </is>
      </c>
      <c r="L108" t="inlineStr">
        <is>
          <t>price×shares vs amount diff=0.0%</t>
        </is>
      </c>
    </row>
    <row r="109">
      <c r="A109" t="inlineStr">
        <is>
          <t>603418_友升股份</t>
        </is>
      </c>
      <c r="B109" t="inlineStr"/>
      <c r="C109" t="inlineStr">
        <is>
          <t>2022-12-19</t>
        </is>
      </c>
      <c r="D109" t="inlineStr">
        <is>
          <t>上海杉创智至创业投资合伙企业(有限合伙)</t>
        </is>
      </c>
      <c r="E109" t="inlineStr"/>
      <c r="F109" t="inlineStr"/>
      <c r="G109" t="inlineStr">
        <is>
          <t>59.4667</t>
        </is>
      </c>
      <c r="H109" t="inlineStr">
        <is>
          <t>2000.0019</t>
        </is>
      </c>
      <c r="I109" t="inlineStr">
        <is>
          <t>2000.0</t>
        </is>
      </c>
      <c r="J109" t="inlineStr">
        <is>
          <t>0.0019</t>
        </is>
      </c>
      <c r="K109" t="inlineStr">
        <is>
          <t>PASS</t>
        </is>
      </c>
      <c r="L109" t="inlineStr">
        <is>
          <t>price×shares vs amount diff=0.0%</t>
        </is>
      </c>
    </row>
    <row r="110">
      <c r="A110" t="inlineStr">
        <is>
          <t>603418_友升股份</t>
        </is>
      </c>
      <c r="B110" t="inlineStr"/>
      <c r="C110" t="inlineStr">
        <is>
          <t>2022-12-19</t>
        </is>
      </c>
      <c r="D110" t="inlineStr">
        <is>
          <t>杭州达晨创程股权投资基金合伙企业(有限合伙)</t>
        </is>
      </c>
      <c r="E110" t="inlineStr"/>
      <c r="F110" t="inlineStr"/>
      <c r="G110" t="inlineStr">
        <is>
          <t>51.959</t>
        </is>
      </c>
      <c r="H110" t="inlineStr">
        <is>
          <t>1747.5007</t>
        </is>
      </c>
      <c r="I110" t="inlineStr">
        <is>
          <t>1747.5</t>
        </is>
      </c>
      <c r="J110" t="inlineStr">
        <is>
          <t>0.0007</t>
        </is>
      </c>
      <c r="K110" t="inlineStr">
        <is>
          <t>PASS</t>
        </is>
      </c>
      <c r="L110" t="inlineStr">
        <is>
          <t>price×shares vs amount diff=0.0%</t>
        </is>
      </c>
    </row>
    <row r="111">
      <c r="A111" t="inlineStr">
        <is>
          <t>603418_友升股份</t>
        </is>
      </c>
      <c r="B111" t="inlineStr"/>
      <c r="C111" t="inlineStr">
        <is>
          <t>2022-12-19</t>
        </is>
      </c>
      <c r="D111" t="inlineStr">
        <is>
          <t>海南三亚达晨财汇私募股权投资基金合伙企业(有限合伙)</t>
        </is>
      </c>
      <c r="E111" t="inlineStr"/>
      <c r="F111" t="inlineStr"/>
      <c r="G111" t="inlineStr">
        <is>
          <t>29.7333</t>
        </is>
      </c>
      <c r="H111" t="inlineStr">
        <is>
          <t>999.9993</t>
        </is>
      </c>
      <c r="I111" t="inlineStr">
        <is>
          <t>1000.0</t>
        </is>
      </c>
      <c r="J111" t="inlineStr">
        <is>
          <t>-0.0007</t>
        </is>
      </c>
      <c r="K111" t="inlineStr">
        <is>
          <t>PASS</t>
        </is>
      </c>
      <c r="L111" t="inlineStr">
        <is>
          <t>price×shares vs amount diff=0.0%</t>
        </is>
      </c>
    </row>
    <row r="112">
      <c r="A112" t="inlineStr">
        <is>
          <t>603418_友升股份</t>
        </is>
      </c>
      <c r="B112" t="inlineStr"/>
      <c r="C112" t="inlineStr">
        <is>
          <t>2022-12-19</t>
        </is>
      </c>
      <c r="D112" t="inlineStr">
        <is>
          <t>深圳市达晨财智创业投资管理有限公司</t>
        </is>
      </c>
      <c r="E112" t="inlineStr"/>
      <c r="F112" t="inlineStr"/>
      <c r="G112" t="inlineStr">
        <is>
          <t>29.7333</t>
        </is>
      </c>
      <c r="H112" t="inlineStr">
        <is>
          <t>999.9993</t>
        </is>
      </c>
      <c r="I112" t="inlineStr">
        <is>
          <t>1000.0</t>
        </is>
      </c>
      <c r="J112" t="inlineStr">
        <is>
          <t>-0.0007</t>
        </is>
      </c>
      <c r="K112" t="inlineStr">
        <is>
          <t>PASS</t>
        </is>
      </c>
      <c r="L112" t="inlineStr">
        <is>
          <t>price×shares vs amount diff=0.0%</t>
        </is>
      </c>
    </row>
    <row r="113">
      <c r="A113" t="inlineStr">
        <is>
          <t>603418_友升股份</t>
        </is>
      </c>
      <c r="B113" t="inlineStr"/>
      <c r="C113" t="inlineStr">
        <is>
          <t>2022-12-19</t>
        </is>
      </c>
      <c r="D113" t="inlineStr">
        <is>
          <t>深圳市财智创赢私募股权投资企业(有限合伙)</t>
        </is>
      </c>
      <c r="E113" t="inlineStr"/>
      <c r="F113" t="inlineStr"/>
      <c r="G113" t="inlineStr">
        <is>
          <t>10.1093</t>
        </is>
      </c>
      <c r="H113" t="inlineStr">
        <is>
          <t>339.999</t>
        </is>
      </c>
      <c r="I113" t="inlineStr">
        <is>
          <t>340.0</t>
        </is>
      </c>
      <c r="J113" t="inlineStr">
        <is>
          <t>-0.001</t>
        </is>
      </c>
      <c r="K113" t="inlineStr">
        <is>
          <t>PASS</t>
        </is>
      </c>
      <c r="L113" t="inlineStr">
        <is>
          <t>price×shares vs amount diff=0.0%</t>
        </is>
      </c>
    </row>
    <row r="114">
      <c r="A114" t="inlineStr">
        <is>
          <t>603418_友升股份</t>
        </is>
      </c>
      <c r="B114" t="inlineStr">
        <is>
          <t>1992-12-04</t>
        </is>
      </c>
      <c r="C114" t="inlineStr">
        <is>
          <t>2020-09-09</t>
        </is>
      </c>
      <c r="D114" t="inlineStr">
        <is>
          <t>罗世兵</t>
        </is>
      </c>
      <c r="E114" t="inlineStr"/>
      <c r="F114" t="inlineStr"/>
      <c r="G114" t="inlineStr">
        <is>
          <t>204.0</t>
        </is>
      </c>
      <c r="H114" t="inlineStr"/>
      <c r="I114" t="inlineStr">
        <is>
          <t>204.0</t>
        </is>
      </c>
      <c r="J114" t="inlineStr"/>
      <c r="K114" t="inlineStr">
        <is>
          <t>PASS</t>
        </is>
      </c>
      <c r="L114" t="inlineStr">
        <is>
          <t>新增</t>
        </is>
      </c>
    </row>
    <row r="115">
      <c r="A115" t="inlineStr">
        <is>
          <t>603418_友升股份</t>
        </is>
      </c>
      <c r="B115" t="inlineStr">
        <is>
          <t>1992-12-04</t>
        </is>
      </c>
      <c r="C115" t="inlineStr">
        <is>
          <t>2020-09-09</t>
        </is>
      </c>
      <c r="D115" t="inlineStr">
        <is>
          <t>深圳市达晨创联私募股权投资基金合伙企业(有限合伙)</t>
        </is>
      </c>
      <c r="E115" t="inlineStr"/>
      <c r="F115" t="inlineStr"/>
      <c r="G115" t="inlineStr">
        <is>
          <t>1800.0</t>
        </is>
      </c>
      <c r="H115" t="inlineStr"/>
      <c r="I115" t="inlineStr">
        <is>
          <t>1800.0</t>
        </is>
      </c>
      <c r="J115" t="inlineStr"/>
      <c r="K115" t="inlineStr">
        <is>
          <t>PASS</t>
        </is>
      </c>
      <c r="L115" t="inlineStr">
        <is>
          <t>新增</t>
        </is>
      </c>
    </row>
    <row r="116">
      <c r="A116" t="inlineStr">
        <is>
          <t>603418_友升股份</t>
        </is>
      </c>
      <c r="B116" t="inlineStr">
        <is>
          <t>1992-12-04</t>
        </is>
      </c>
      <c r="C116" t="inlineStr">
        <is>
          <t>2020-09-09</t>
        </is>
      </c>
      <c r="D116" t="inlineStr">
        <is>
          <t>上海泽升贸易有限公司</t>
        </is>
      </c>
      <c r="E116" t="inlineStr"/>
      <c r="F116" t="inlineStr"/>
      <c r="G116" t="inlineStr">
        <is>
          <t>8976.0</t>
        </is>
      </c>
      <c r="H116" t="inlineStr"/>
      <c r="I116" t="inlineStr">
        <is>
          <t>8976.0</t>
        </is>
      </c>
      <c r="J116" t="inlineStr"/>
      <c r="K116" t="inlineStr">
        <is>
          <t>PASS</t>
        </is>
      </c>
      <c r="L116" t="inlineStr">
        <is>
          <t>新增</t>
        </is>
      </c>
    </row>
    <row r="117">
      <c r="A117" t="inlineStr">
        <is>
          <t>603418_友升股份</t>
        </is>
      </c>
      <c r="B117" t="inlineStr">
        <is>
          <t>1992-12-04</t>
        </is>
      </c>
      <c r="C117" t="inlineStr">
        <is>
          <t>2020-09-09</t>
        </is>
      </c>
      <c r="D117" t="inlineStr">
        <is>
          <t>上海市青浦县徐泾乡工业公司</t>
        </is>
      </c>
      <c r="E117" t="inlineStr"/>
      <c r="F117" t="inlineStr"/>
      <c r="G117" t="inlineStr"/>
      <c r="H117" t="inlineStr"/>
      <c r="I117" t="inlineStr"/>
      <c r="J117" t="inlineStr"/>
      <c r="K117" t="inlineStr">
        <is>
          <t>PASS</t>
        </is>
      </c>
      <c r="L117" t="inlineStr">
        <is>
          <t>退出</t>
        </is>
      </c>
    </row>
    <row r="118">
      <c r="A118" t="inlineStr">
        <is>
          <t>603418_友升股份</t>
        </is>
      </c>
      <c r="B118" t="inlineStr">
        <is>
          <t>1992-12-04</t>
        </is>
      </c>
      <c r="C118" t="inlineStr">
        <is>
          <t>2020-09-09</t>
        </is>
      </c>
      <c r="D118" t="inlineStr">
        <is>
          <t>友升太平洋(美国)投资有限公司</t>
        </is>
      </c>
      <c r="E118" t="inlineStr"/>
      <c r="F118" t="inlineStr"/>
      <c r="G118" t="inlineStr"/>
      <c r="H118" t="inlineStr"/>
      <c r="I118" t="inlineStr"/>
      <c r="J118" t="inlineStr"/>
      <c r="K118" t="inlineStr">
        <is>
          <t>PASS</t>
        </is>
      </c>
      <c r="L118" t="inlineStr">
        <is>
          <t>退出</t>
        </is>
      </c>
    </row>
    <row r="119">
      <c r="A119" t="inlineStr">
        <is>
          <t>603418_友升股份</t>
        </is>
      </c>
      <c r="B119" t="inlineStr">
        <is>
          <t>1992-12-04</t>
        </is>
      </c>
      <c r="C119" t="inlineStr">
        <is>
          <t>2020-09-09</t>
        </is>
      </c>
      <c r="D119" t="inlineStr">
        <is>
          <t>共青城泽升投资管理合伙企业(有限合伙)</t>
        </is>
      </c>
      <c r="E119" t="inlineStr"/>
      <c r="F119" t="inlineStr"/>
      <c r="G119" t="inlineStr">
        <is>
          <t>1020.0</t>
        </is>
      </c>
      <c r="H119" t="inlineStr"/>
      <c r="I119" t="inlineStr">
        <is>
          <t>1020.0</t>
        </is>
      </c>
      <c r="J119" t="inlineStr"/>
      <c r="K119" t="inlineStr">
        <is>
          <t>PASS</t>
        </is>
      </c>
      <c r="L119" t="inlineStr">
        <is>
          <t>新增</t>
        </is>
      </c>
    </row>
    <row r="120">
      <c r="A120" t="inlineStr">
        <is>
          <t>603418_友升股份</t>
        </is>
      </c>
      <c r="B120" t="inlineStr">
        <is>
          <t>2020-09-09</t>
        </is>
      </c>
      <c r="C120" t="inlineStr">
        <is>
          <t>2020-09-27</t>
        </is>
      </c>
      <c r="D120" t="inlineStr">
        <is>
          <t>罗世兵</t>
        </is>
      </c>
      <c r="E120" t="inlineStr">
        <is>
          <t>204.0</t>
        </is>
      </c>
      <c r="F120" t="inlineStr"/>
      <c r="G120" t="inlineStr">
        <is>
          <t>204.0</t>
        </is>
      </c>
      <c r="H120" t="inlineStr">
        <is>
          <t>408.0</t>
        </is>
      </c>
      <c r="I120" t="inlineStr"/>
      <c r="J120" t="inlineStr"/>
      <c r="K120" t="inlineStr">
        <is>
          <t>PASS</t>
        </is>
      </c>
      <c r="L120" t="inlineStr">
        <is>
          <t>退出</t>
        </is>
      </c>
    </row>
    <row r="121">
      <c r="A121" t="inlineStr">
        <is>
          <t>603418_友升股份</t>
        </is>
      </c>
      <c r="B121" t="inlineStr">
        <is>
          <t>2020-09-09</t>
        </is>
      </c>
      <c r="C121" t="inlineStr">
        <is>
          <t>2020-09-27</t>
        </is>
      </c>
      <c r="D121" t="inlineStr">
        <is>
          <t>上海骁墨信息技术服务中心(有限合伙)</t>
        </is>
      </c>
      <c r="E121" t="inlineStr"/>
      <c r="F121" t="inlineStr"/>
      <c r="G121" t="inlineStr">
        <is>
          <t>180.0</t>
        </is>
      </c>
      <c r="H121" t="inlineStr"/>
      <c r="I121" t="inlineStr">
        <is>
          <t>180.0</t>
        </is>
      </c>
      <c r="J121" t="inlineStr"/>
      <c r="K121" t="inlineStr">
        <is>
          <t>PASS</t>
        </is>
      </c>
      <c r="L121" t="inlineStr">
        <is>
          <t>新增</t>
        </is>
      </c>
    </row>
    <row r="122">
      <c r="A122" t="inlineStr">
        <is>
          <t>603418_友升股份</t>
        </is>
      </c>
      <c r="B122" t="inlineStr">
        <is>
          <t>2020-09-09</t>
        </is>
      </c>
      <c r="C122" t="inlineStr">
        <is>
          <t>2020-09-27</t>
        </is>
      </c>
      <c r="D122" t="inlineStr">
        <is>
          <t>上海金浦科技创业股权投资基金合伙企业(有限合伙)</t>
        </is>
      </c>
      <c r="E122" t="inlineStr"/>
      <c r="F122" t="inlineStr"/>
      <c r="G122" t="inlineStr">
        <is>
          <t>360.0</t>
        </is>
      </c>
      <c r="H122" t="inlineStr"/>
      <c r="I122" t="inlineStr">
        <is>
          <t>360.0</t>
        </is>
      </c>
      <c r="J122" t="inlineStr"/>
      <c r="K122" t="inlineStr">
        <is>
          <t>PASS</t>
        </is>
      </c>
      <c r="L122" t="inlineStr">
        <is>
          <t>新增</t>
        </is>
      </c>
    </row>
    <row r="123">
      <c r="A123" t="inlineStr">
        <is>
          <t>603418_友升股份</t>
        </is>
      </c>
      <c r="B123" t="inlineStr">
        <is>
          <t>2020-09-09</t>
        </is>
      </c>
      <c r="C123" t="inlineStr">
        <is>
          <t>2020-09-27</t>
        </is>
      </c>
      <c r="D123" t="inlineStr">
        <is>
          <t>上海金浦临港智能科技股权投资基金合伙企业(有限合伙)</t>
        </is>
      </c>
      <c r="E123" t="inlineStr"/>
      <c r="F123" t="inlineStr"/>
      <c r="G123" t="inlineStr">
        <is>
          <t>840.0</t>
        </is>
      </c>
      <c r="H123" t="inlineStr"/>
      <c r="I123" t="inlineStr">
        <is>
          <t>840.0</t>
        </is>
      </c>
      <c r="J123" t="inlineStr"/>
      <c r="K123" t="inlineStr">
        <is>
          <t>PASS</t>
        </is>
      </c>
      <c r="L123" t="inlineStr">
        <is>
          <t>新增</t>
        </is>
      </c>
    </row>
    <row r="124">
      <c r="A124" t="inlineStr">
        <is>
          <t>603418_友升股份</t>
        </is>
      </c>
      <c r="B124" t="inlineStr">
        <is>
          <t>2020-09-09</t>
        </is>
      </c>
      <c r="C124" t="inlineStr">
        <is>
          <t>2020-09-27</t>
        </is>
      </c>
      <c r="D124" t="inlineStr">
        <is>
          <t>深圳市达晨创联私募股权投资基金合伙企业(有限合伙)</t>
        </is>
      </c>
      <c r="E124" t="inlineStr">
        <is>
          <t>1800.0</t>
        </is>
      </c>
      <c r="F124" t="inlineStr"/>
      <c r="G124" t="inlineStr">
        <is>
          <t>1800.0</t>
        </is>
      </c>
      <c r="H124" t="inlineStr">
        <is>
          <t>3600.0</t>
        </is>
      </c>
      <c r="I124" t="inlineStr"/>
      <c r="J124" t="inlineStr"/>
      <c r="K124" t="inlineStr">
        <is>
          <t>PASS</t>
        </is>
      </c>
      <c r="L124" t="inlineStr">
        <is>
          <t>退出</t>
        </is>
      </c>
    </row>
    <row r="125">
      <c r="A125" t="inlineStr">
        <is>
          <t>603418_友升股份</t>
        </is>
      </c>
      <c r="B125" t="inlineStr">
        <is>
          <t>2020-09-09</t>
        </is>
      </c>
      <c r="C125" t="inlineStr">
        <is>
          <t>2020-09-27</t>
        </is>
      </c>
      <c r="D125" t="inlineStr">
        <is>
          <t>上海泽升贸易有限公司</t>
        </is>
      </c>
      <c r="E125" t="inlineStr">
        <is>
          <t>8976.0</t>
        </is>
      </c>
      <c r="F125" t="inlineStr"/>
      <c r="G125" t="inlineStr">
        <is>
          <t>8976.0</t>
        </is>
      </c>
      <c r="H125" t="inlineStr">
        <is>
          <t>17952.0</t>
        </is>
      </c>
      <c r="I125" t="inlineStr"/>
      <c r="J125" t="inlineStr"/>
      <c r="K125" t="inlineStr">
        <is>
          <t>PASS</t>
        </is>
      </c>
      <c r="L125" t="inlineStr">
        <is>
          <t>退出</t>
        </is>
      </c>
    </row>
    <row r="126">
      <c r="A126" t="inlineStr">
        <is>
          <t>603418_友升股份</t>
        </is>
      </c>
      <c r="B126" t="inlineStr">
        <is>
          <t>2020-09-09</t>
        </is>
      </c>
      <c r="C126" t="inlineStr">
        <is>
          <t>2020-09-27</t>
        </is>
      </c>
      <c r="D126" t="inlineStr">
        <is>
          <t>共青城泽升投资管理合伙企业(有限合伙)</t>
        </is>
      </c>
      <c r="E126" t="inlineStr">
        <is>
          <t>1020.0</t>
        </is>
      </c>
      <c r="F126" t="inlineStr"/>
      <c r="G126" t="inlineStr">
        <is>
          <t>1020.0</t>
        </is>
      </c>
      <c r="H126" t="inlineStr">
        <is>
          <t>2040.0</t>
        </is>
      </c>
      <c r="I126" t="inlineStr"/>
      <c r="J126" t="inlineStr"/>
      <c r="K126" t="inlineStr">
        <is>
          <t>PASS</t>
        </is>
      </c>
      <c r="L126" t="inlineStr">
        <is>
          <t>退出</t>
        </is>
      </c>
    </row>
    <row r="127">
      <c r="A127" t="inlineStr">
        <is>
          <t>603418_友升股份</t>
        </is>
      </c>
      <c r="B127" t="inlineStr">
        <is>
          <t>2020-09-27</t>
        </is>
      </c>
      <c r="C127" t="inlineStr">
        <is>
          <t>2022-12-19</t>
        </is>
      </c>
      <c r="D127" t="inlineStr">
        <is>
          <t>杭州达晨创程股权投资基金合伙企业(有限合伙)</t>
        </is>
      </c>
      <c r="E127" t="inlineStr"/>
      <c r="F127" t="inlineStr"/>
      <c r="G127" t="inlineStr">
        <is>
          <t>51.959</t>
        </is>
      </c>
      <c r="H127" t="inlineStr"/>
      <c r="I127" t="inlineStr">
        <is>
          <t>51.959</t>
        </is>
      </c>
      <c r="J127" t="inlineStr"/>
      <c r="K127" t="inlineStr">
        <is>
          <t>PASS</t>
        </is>
      </c>
      <c r="L127" t="inlineStr">
        <is>
          <t>新增</t>
        </is>
      </c>
    </row>
    <row r="128">
      <c r="A128" t="inlineStr">
        <is>
          <t>603418_友升股份</t>
        </is>
      </c>
      <c r="B128" t="inlineStr">
        <is>
          <t>2020-09-27</t>
        </is>
      </c>
      <c r="C128" t="inlineStr">
        <is>
          <t>2022-12-19</t>
        </is>
      </c>
      <c r="D128" t="inlineStr">
        <is>
          <t>深圳市达晨创程私募股权投资基金企业(有限合伙)</t>
        </is>
      </c>
      <c r="E128" t="inlineStr"/>
      <c r="F128" t="inlineStr"/>
      <c r="G128" t="inlineStr">
        <is>
          <t>86.5984</t>
        </is>
      </c>
      <c r="H128" t="inlineStr"/>
      <c r="I128" t="inlineStr">
        <is>
          <t>86.5984</t>
        </is>
      </c>
      <c r="J128" t="inlineStr"/>
      <c r="K128" t="inlineStr">
        <is>
          <t>PASS</t>
        </is>
      </c>
      <c r="L128" t="inlineStr">
        <is>
          <t>新增</t>
        </is>
      </c>
    </row>
    <row r="129">
      <c r="A129" t="inlineStr">
        <is>
          <t>603418_友升股份</t>
        </is>
      </c>
      <c r="B129" t="inlineStr">
        <is>
          <t>2020-09-27</t>
        </is>
      </c>
      <c r="C129" t="inlineStr">
        <is>
          <t>2022-12-19</t>
        </is>
      </c>
      <c r="D129" t="inlineStr">
        <is>
          <t>安吉璞颉企业管理合伙企业(有限合伙)</t>
        </is>
      </c>
      <c r="E129" t="inlineStr"/>
      <c r="F129" t="inlineStr"/>
      <c r="G129" t="inlineStr">
        <is>
          <t>148.6667</t>
        </is>
      </c>
      <c r="H129" t="inlineStr"/>
      <c r="I129" t="inlineStr">
        <is>
          <t>148.6667</t>
        </is>
      </c>
      <c r="J129" t="inlineStr"/>
      <c r="K129" t="inlineStr">
        <is>
          <t>PASS</t>
        </is>
      </c>
      <c r="L129" t="inlineStr">
        <is>
          <t>新增</t>
        </is>
      </c>
    </row>
    <row r="130">
      <c r="A130" t="inlineStr">
        <is>
          <t>603418_友升股份</t>
        </is>
      </c>
      <c r="B130" t="inlineStr">
        <is>
          <t>2020-09-27</t>
        </is>
      </c>
      <c r="C130" t="inlineStr">
        <is>
          <t>2022-12-19</t>
        </is>
      </c>
      <c r="D130" t="inlineStr">
        <is>
          <t>上海金浦科技创业股权投资基金合伙企业(有限合伙)</t>
        </is>
      </c>
      <c r="E130" t="inlineStr">
        <is>
          <t>360.0</t>
        </is>
      </c>
      <c r="F130" t="inlineStr">
        <is>
          <t>3000.0</t>
        </is>
      </c>
      <c r="G130" t="inlineStr">
        <is>
          <t>360.0</t>
        </is>
      </c>
      <c r="H130" t="inlineStr">
        <is>
          <t>720.0</t>
        </is>
      </c>
      <c r="I130" t="inlineStr"/>
      <c r="J130" t="inlineStr"/>
      <c r="K130" t="inlineStr">
        <is>
          <t>PASS</t>
        </is>
      </c>
      <c r="L130" t="inlineStr">
        <is>
          <t>退出</t>
        </is>
      </c>
    </row>
    <row r="131">
      <c r="A131" t="inlineStr">
        <is>
          <t>603418_友升股份</t>
        </is>
      </c>
      <c r="B131" t="inlineStr">
        <is>
          <t>2020-09-27</t>
        </is>
      </c>
      <c r="C131" t="inlineStr">
        <is>
          <t>2022-12-19</t>
        </is>
      </c>
      <c r="D131" t="inlineStr">
        <is>
          <t>上海联炻企业管理中心(有限合伙)</t>
        </is>
      </c>
      <c r="E131" t="inlineStr"/>
      <c r="F131" t="inlineStr"/>
      <c r="G131" t="inlineStr">
        <is>
          <t>297.3333</t>
        </is>
      </c>
      <c r="H131" t="inlineStr"/>
      <c r="I131" t="inlineStr">
        <is>
          <t>297.3333</t>
        </is>
      </c>
      <c r="J131" t="inlineStr"/>
      <c r="K131" t="inlineStr">
        <is>
          <t>PASS</t>
        </is>
      </c>
      <c r="L131" t="inlineStr">
        <is>
          <t>新增</t>
        </is>
      </c>
    </row>
    <row r="132">
      <c r="A132" t="inlineStr">
        <is>
          <t>603418_友升股份</t>
        </is>
      </c>
      <c r="B132" t="inlineStr">
        <is>
          <t>2020-09-27</t>
        </is>
      </c>
      <c r="C132" t="inlineStr">
        <is>
          <t>2022-12-19</t>
        </is>
      </c>
      <c r="D132" t="inlineStr">
        <is>
          <t>深圳市杉晖创业投资合伙企业(有限合伙)</t>
        </is>
      </c>
      <c r="E132" t="inlineStr"/>
      <c r="F132" t="inlineStr"/>
      <c r="G132" t="inlineStr">
        <is>
          <t>297.3333</t>
        </is>
      </c>
      <c r="H132" t="inlineStr"/>
      <c r="I132" t="inlineStr">
        <is>
          <t>297.3333</t>
        </is>
      </c>
      <c r="J132" t="inlineStr"/>
      <c r="K132" t="inlineStr">
        <is>
          <t>PASS</t>
        </is>
      </c>
      <c r="L132" t="inlineStr">
        <is>
          <t>新增</t>
        </is>
      </c>
    </row>
    <row r="133">
      <c r="A133" t="inlineStr">
        <is>
          <t>603418_友升股份</t>
        </is>
      </c>
      <c r="B133" t="inlineStr">
        <is>
          <t>2020-09-27</t>
        </is>
      </c>
      <c r="C133" t="inlineStr">
        <is>
          <t>2022-12-19</t>
        </is>
      </c>
      <c r="D133" t="inlineStr">
        <is>
          <t>海南三亚达晨财汇私募股权投资基金合伙企业(有限合伙)</t>
        </is>
      </c>
      <c r="E133" t="inlineStr"/>
      <c r="F133" t="inlineStr"/>
      <c r="G133" t="inlineStr">
        <is>
          <t>29.7333</t>
        </is>
      </c>
      <c r="H133" t="inlineStr"/>
      <c r="I133" t="inlineStr">
        <is>
          <t>29.7333</t>
        </is>
      </c>
      <c r="J133" t="inlineStr"/>
      <c r="K133" t="inlineStr">
        <is>
          <t>PASS</t>
        </is>
      </c>
      <c r="L133" t="inlineStr">
        <is>
          <t>新增</t>
        </is>
      </c>
    </row>
    <row r="134">
      <c r="A134" t="inlineStr">
        <is>
          <t>603418_友升股份</t>
        </is>
      </c>
      <c r="B134" t="inlineStr">
        <is>
          <t>2020-09-27</t>
        </is>
      </c>
      <c r="C134" t="inlineStr">
        <is>
          <t>2022-12-19</t>
        </is>
      </c>
      <c r="D134" t="inlineStr">
        <is>
          <t>上海杉创智至创业投资合伙企业(有限合伙)</t>
        </is>
      </c>
      <c r="E134" t="inlineStr"/>
      <c r="F134" t="inlineStr"/>
      <c r="G134" t="inlineStr">
        <is>
          <t>59.4667</t>
        </is>
      </c>
      <c r="H134" t="inlineStr"/>
      <c r="I134" t="inlineStr">
        <is>
          <t>59.4667</t>
        </is>
      </c>
      <c r="J134" t="inlineStr"/>
      <c r="K134" t="inlineStr">
        <is>
          <t>PASS</t>
        </is>
      </c>
      <c r="L134" t="inlineStr">
        <is>
          <t>新增</t>
        </is>
      </c>
    </row>
    <row r="135">
      <c r="A135" t="inlineStr">
        <is>
          <t>603418_友升股份</t>
        </is>
      </c>
      <c r="B135" t="inlineStr">
        <is>
          <t>2020-09-27</t>
        </is>
      </c>
      <c r="C135" t="inlineStr">
        <is>
          <t>2022-12-19</t>
        </is>
      </c>
      <c r="D135" t="inlineStr">
        <is>
          <t>深圳市财智创赢私募股权投资企业(有限合伙)</t>
        </is>
      </c>
      <c r="E135" t="inlineStr"/>
      <c r="F135" t="inlineStr"/>
      <c r="G135" t="inlineStr">
        <is>
          <t>10.1093</t>
        </is>
      </c>
      <c r="H135" t="inlineStr"/>
      <c r="I135" t="inlineStr">
        <is>
          <t>10.1093</t>
        </is>
      </c>
      <c r="J135" t="inlineStr"/>
      <c r="K135" t="inlineStr">
        <is>
          <t>PASS</t>
        </is>
      </c>
      <c r="L135" t="inlineStr">
        <is>
          <t>新增</t>
        </is>
      </c>
    </row>
    <row r="136">
      <c r="A136" t="inlineStr">
        <is>
          <t>603418_友升股份</t>
        </is>
      </c>
      <c r="B136" t="inlineStr">
        <is>
          <t>2020-09-27</t>
        </is>
      </c>
      <c r="C136" t="inlineStr">
        <is>
          <t>2022-12-19</t>
        </is>
      </c>
      <c r="D136" t="inlineStr">
        <is>
          <t>江西赣江新区财投晨源股权投资中心(有限合伙)</t>
        </is>
      </c>
      <c r="E136" t="inlineStr"/>
      <c r="F136" t="inlineStr"/>
      <c r="G136" t="inlineStr">
        <is>
          <t>89.2</t>
        </is>
      </c>
      <c r="H136" t="inlineStr"/>
      <c r="I136" t="inlineStr">
        <is>
          <t>89.2</t>
        </is>
      </c>
      <c r="J136" t="inlineStr"/>
      <c r="K136" t="inlineStr">
        <is>
          <t>PASS</t>
        </is>
      </c>
      <c r="L136" t="inlineStr">
        <is>
          <t>新增</t>
        </is>
      </c>
    </row>
    <row r="137">
      <c r="A137" t="inlineStr">
        <is>
          <t>603418_友升股份</t>
        </is>
      </c>
      <c r="B137" t="inlineStr">
        <is>
          <t>2020-09-27</t>
        </is>
      </c>
      <c r="C137" t="inlineStr">
        <is>
          <t>2022-12-19</t>
        </is>
      </c>
      <c r="D137" t="inlineStr">
        <is>
          <t>上海金浦临港智能科技股权投资基金合伙企业(有限合伙)</t>
        </is>
      </c>
      <c r="E137" t="inlineStr">
        <is>
          <t>840.0</t>
        </is>
      </c>
      <c r="F137" t="inlineStr">
        <is>
          <t>7000.0</t>
        </is>
      </c>
      <c r="G137" t="inlineStr">
        <is>
          <t>840.0</t>
        </is>
      </c>
      <c r="H137" t="inlineStr">
        <is>
          <t>1680.0</t>
        </is>
      </c>
      <c r="I137" t="inlineStr"/>
      <c r="J137" t="inlineStr"/>
      <c r="K137" t="inlineStr">
        <is>
          <t>PASS</t>
        </is>
      </c>
      <c r="L137" t="inlineStr">
        <is>
          <t>退出</t>
        </is>
      </c>
    </row>
    <row r="138">
      <c r="A138" t="inlineStr">
        <is>
          <t>603418_友升股份</t>
        </is>
      </c>
      <c r="B138" t="inlineStr">
        <is>
          <t>2020-09-27</t>
        </is>
      </c>
      <c r="C138" t="inlineStr">
        <is>
          <t>2022-12-19</t>
        </is>
      </c>
      <c r="D138" t="inlineStr">
        <is>
          <t>深圳市达晨财智创业投资管理有限公司</t>
        </is>
      </c>
      <c r="E138" t="inlineStr"/>
      <c r="F138" t="inlineStr"/>
      <c r="G138" t="inlineStr">
        <is>
          <t>29.7333</t>
        </is>
      </c>
      <c r="H138" t="inlineStr"/>
      <c r="I138" t="inlineStr">
        <is>
          <t>29.7333</t>
        </is>
      </c>
      <c r="J138" t="inlineStr"/>
      <c r="K138" t="inlineStr">
        <is>
          <t>PASS</t>
        </is>
      </c>
      <c r="L138" t="inlineStr">
        <is>
          <t>新增</t>
        </is>
      </c>
    </row>
    <row r="139">
      <c r="A139" t="inlineStr">
        <is>
          <t>603418_友升股份</t>
        </is>
      </c>
      <c r="B139" t="inlineStr">
        <is>
          <t>2020-09-27</t>
        </is>
      </c>
      <c r="C139" t="inlineStr">
        <is>
          <t>2022-12-19</t>
        </is>
      </c>
      <c r="D139" t="inlineStr">
        <is>
          <t>上海骁墨信息技术服务中心(有限合伙)</t>
        </is>
      </c>
      <c r="E139" t="inlineStr">
        <is>
          <t>180.0</t>
        </is>
      </c>
      <c r="F139" t="inlineStr">
        <is>
          <t>1500.0</t>
        </is>
      </c>
      <c r="G139" t="inlineStr">
        <is>
          <t>180.0</t>
        </is>
      </c>
      <c r="H139" t="inlineStr">
        <is>
          <t>360.0</t>
        </is>
      </c>
      <c r="I139" t="inlineStr"/>
      <c r="J139" t="inlineStr"/>
      <c r="K139" t="inlineStr">
        <is>
          <t>PASS</t>
        </is>
      </c>
      <c r="L139" t="inlineStr">
        <is>
          <t>退出</t>
        </is>
      </c>
    </row>
    <row r="140">
      <c r="A140" t="inlineStr">
        <is>
          <t>603418_友升股份</t>
        </is>
      </c>
      <c r="B140" t="inlineStr">
        <is>
          <t>2022-12-19</t>
        </is>
      </c>
      <c r="C140" t="inlineStr"/>
      <c r="D140" t="inlineStr">
        <is>
          <t>[出资额变化合计]</t>
        </is>
      </c>
      <c r="E140" t="inlineStr">
        <is>
          <t>840.0</t>
        </is>
      </c>
      <c r="F140" t="inlineStr"/>
      <c r="G140" t="inlineStr">
        <is>
          <t>1100.1333</t>
        </is>
      </c>
      <c r="H140" t="inlineStr">
        <is>
          <t>1940.1333</t>
        </is>
      </c>
      <c r="I140" t="inlineStr">
        <is>
          <t>14480.1333</t>
        </is>
      </c>
      <c r="J140" t="inlineStr">
        <is>
          <t>-12540.0</t>
        </is>
      </c>
      <c r="K140" t="inlineStr">
        <is>
          <t>待复核</t>
        </is>
      </c>
      <c r="L140" t="inlineStr">
        <is>
          <t>认购合计1100.1万股 vs 出资额变化13640.1万元</t>
        </is>
      </c>
    </row>
    <row r="141">
      <c r="A141" t="inlineStr">
        <is>
          <t>603418_友升股份</t>
        </is>
      </c>
      <c r="B141" t="inlineStr"/>
      <c r="C141" t="inlineStr">
        <is>
          <t>2020-09-09</t>
        </is>
      </c>
      <c r="D141" t="inlineStr">
        <is>
          <t>上海泽升贸易有限公司 (认缴→存量)</t>
        </is>
      </c>
      <c r="E141" t="inlineStr"/>
      <c r="F141" t="inlineStr"/>
      <c r="G141" t="inlineStr">
        <is>
          <t>8976.0</t>
        </is>
      </c>
      <c r="H141" t="inlineStr">
        <is>
          <t>8976.0</t>
        </is>
      </c>
      <c r="I141" t="inlineStr">
        <is>
          <t>8976.0</t>
        </is>
      </c>
      <c r="J141" t="inlineStr">
        <is>
          <t>0.0</t>
        </is>
      </c>
      <c r="K141" t="inlineStr">
        <is>
          <t>PASS</t>
        </is>
      </c>
      <c r="L141" t="inlineStr">
        <is>
          <t>认购数 vs 存量持股数</t>
        </is>
      </c>
    </row>
    <row r="142">
      <c r="A142" t="inlineStr">
        <is>
          <t>603418_友升股份</t>
        </is>
      </c>
      <c r="B142" t="inlineStr"/>
      <c r="C142" t="inlineStr">
        <is>
          <t>2020-09-09</t>
        </is>
      </c>
      <c r="D142" t="inlineStr">
        <is>
          <t>深圳市达晨创联私募股权投资基金合伙企业(有限合伙) (认缴→存量)</t>
        </is>
      </c>
      <c r="E142" t="inlineStr"/>
      <c r="F142" t="inlineStr"/>
      <c r="G142" t="inlineStr">
        <is>
          <t>1800.0</t>
        </is>
      </c>
      <c r="H142" t="inlineStr">
        <is>
          <t>1800.0</t>
        </is>
      </c>
      <c r="I142" t="inlineStr">
        <is>
          <t>1800.0</t>
        </is>
      </c>
      <c r="J142" t="inlineStr">
        <is>
          <t>0.0</t>
        </is>
      </c>
      <c r="K142" t="inlineStr">
        <is>
          <t>PASS</t>
        </is>
      </c>
      <c r="L142" t="inlineStr">
        <is>
          <t>认购数 vs 存量持股数</t>
        </is>
      </c>
    </row>
    <row r="143">
      <c r="A143" t="inlineStr">
        <is>
          <t>603418_友升股份</t>
        </is>
      </c>
      <c r="B143" t="inlineStr"/>
      <c r="C143" t="inlineStr">
        <is>
          <t>2020-09-09</t>
        </is>
      </c>
      <c r="D143" t="inlineStr">
        <is>
          <t>共青城泽升投资管理合伙企业(有限合伙) (认缴→存量)</t>
        </is>
      </c>
      <c r="E143" t="inlineStr"/>
      <c r="F143" t="inlineStr"/>
      <c r="G143" t="inlineStr">
        <is>
          <t>1020.0</t>
        </is>
      </c>
      <c r="H143" t="inlineStr">
        <is>
          <t>1020.0</t>
        </is>
      </c>
      <c r="I143" t="inlineStr">
        <is>
          <t>1020.0</t>
        </is>
      </c>
      <c r="J143" t="inlineStr">
        <is>
          <t>0.0</t>
        </is>
      </c>
      <c r="K143" t="inlineStr">
        <is>
          <t>PASS</t>
        </is>
      </c>
      <c r="L143" t="inlineStr">
        <is>
          <t>认购数 vs 存量持股数</t>
        </is>
      </c>
    </row>
    <row r="144">
      <c r="A144" t="inlineStr">
        <is>
          <t>603418_友升股份</t>
        </is>
      </c>
      <c r="B144" t="inlineStr"/>
      <c r="C144" t="inlineStr">
        <is>
          <t>2020-09-09</t>
        </is>
      </c>
      <c r="D144" t="inlineStr">
        <is>
          <t>罗世兵 (认缴→存量)</t>
        </is>
      </c>
      <c r="E144" t="inlineStr"/>
      <c r="F144" t="inlineStr"/>
      <c r="G144" t="inlineStr">
        <is>
          <t>204.0</t>
        </is>
      </c>
      <c r="H144" t="inlineStr">
        <is>
          <t>204.0</t>
        </is>
      </c>
      <c r="I144" t="inlineStr">
        <is>
          <t>204.0</t>
        </is>
      </c>
      <c r="J144" t="inlineStr">
        <is>
          <t>0.0</t>
        </is>
      </c>
      <c r="K144" t="inlineStr">
        <is>
          <t>PASS</t>
        </is>
      </c>
      <c r="L144" t="inlineStr">
        <is>
          <t>认购数 vs 存量持股数</t>
        </is>
      </c>
    </row>
    <row r="145">
      <c r="A145" t="inlineStr">
        <is>
          <t>603418_友升股份</t>
        </is>
      </c>
      <c r="B145" t="inlineStr"/>
      <c r="C145" t="inlineStr">
        <is>
          <t>2020-09-27</t>
        </is>
      </c>
      <c r="D145" t="inlineStr">
        <is>
          <t>上海金浦临港智能科技股权投资基金合伙企业(有限合伙) (认缴→存量)</t>
        </is>
      </c>
      <c r="E145" t="inlineStr"/>
      <c r="F145" t="inlineStr"/>
      <c r="G145" t="inlineStr">
        <is>
          <t>840.0</t>
        </is>
      </c>
      <c r="H145" t="inlineStr">
        <is>
          <t>840.0</t>
        </is>
      </c>
      <c r="I145" t="inlineStr">
        <is>
          <t>840.0</t>
        </is>
      </c>
      <c r="J145" t="inlineStr">
        <is>
          <t>0.0</t>
        </is>
      </c>
      <c r="K145" t="inlineStr">
        <is>
          <t>PASS</t>
        </is>
      </c>
      <c r="L145" t="inlineStr">
        <is>
          <t>认购数 vs 存量持股数</t>
        </is>
      </c>
    </row>
    <row r="146">
      <c r="A146" t="inlineStr">
        <is>
          <t>603418_友升股份</t>
        </is>
      </c>
      <c r="B146" t="inlineStr"/>
      <c r="C146" t="inlineStr">
        <is>
          <t>2020-09-27</t>
        </is>
      </c>
      <c r="D146" t="inlineStr">
        <is>
          <t>上海金浦科技创业股权投资基金合伙企业(有限合伙) (认缴→存量)</t>
        </is>
      </c>
      <c r="E146" t="inlineStr"/>
      <c r="F146" t="inlineStr"/>
      <c r="G146" t="inlineStr">
        <is>
          <t>360.0</t>
        </is>
      </c>
      <c r="H146" t="inlineStr">
        <is>
          <t>360.0</t>
        </is>
      </c>
      <c r="I146" t="inlineStr">
        <is>
          <t>360.0</t>
        </is>
      </c>
      <c r="J146" t="inlineStr">
        <is>
          <t>0.0</t>
        </is>
      </c>
      <c r="K146" t="inlineStr">
        <is>
          <t>PASS</t>
        </is>
      </c>
      <c r="L146" t="inlineStr">
        <is>
          <t>认购数 vs 存量持股数</t>
        </is>
      </c>
    </row>
    <row r="147">
      <c r="A147" t="inlineStr">
        <is>
          <t>603418_友升股份</t>
        </is>
      </c>
      <c r="B147" t="inlineStr"/>
      <c r="C147" t="inlineStr">
        <is>
          <t>2020-09-27</t>
        </is>
      </c>
      <c r="D147" t="inlineStr">
        <is>
          <t>上海骁墨信息技术服务中心(有限合伙) (认缴→存量)</t>
        </is>
      </c>
      <c r="E147" t="inlineStr"/>
      <c r="F147" t="inlineStr"/>
      <c r="G147" t="inlineStr">
        <is>
          <t>180.0</t>
        </is>
      </c>
      <c r="H147" t="inlineStr">
        <is>
          <t>180.0</t>
        </is>
      </c>
      <c r="I147" t="inlineStr">
        <is>
          <t>180.0</t>
        </is>
      </c>
      <c r="J147" t="inlineStr">
        <is>
          <t>0.0</t>
        </is>
      </c>
      <c r="K147" t="inlineStr">
        <is>
          <t>PASS</t>
        </is>
      </c>
      <c r="L147" t="inlineStr">
        <is>
          <t>认购数 vs 存量持股数</t>
        </is>
      </c>
    </row>
    <row r="148">
      <c r="A148" t="inlineStr">
        <is>
          <t>603418_友升股份</t>
        </is>
      </c>
      <c r="B148" t="inlineStr"/>
      <c r="C148" t="inlineStr">
        <is>
          <t>2022-12-19</t>
        </is>
      </c>
      <c r="D148" t="inlineStr">
        <is>
          <t>深圳市杉晖创业投资合伙企业(有限合伙) (认缴→存量)</t>
        </is>
      </c>
      <c r="E148" t="inlineStr"/>
      <c r="F148" t="inlineStr"/>
      <c r="G148" t="inlineStr">
        <is>
          <t>297.3333</t>
        </is>
      </c>
      <c r="H148" t="inlineStr">
        <is>
          <t>297.3333</t>
        </is>
      </c>
      <c r="I148" t="inlineStr">
        <is>
          <t>297.3333</t>
        </is>
      </c>
      <c r="J148" t="inlineStr">
        <is>
          <t>0.0</t>
        </is>
      </c>
      <c r="K148" t="inlineStr">
        <is>
          <t>PASS</t>
        </is>
      </c>
      <c r="L148" t="inlineStr">
        <is>
          <t>认购数 vs 存量持股数</t>
        </is>
      </c>
    </row>
    <row r="149">
      <c r="A149" t="inlineStr">
        <is>
          <t>603418_友升股份</t>
        </is>
      </c>
      <c r="B149" t="inlineStr"/>
      <c r="C149" t="inlineStr">
        <is>
          <t>2022-12-19</t>
        </is>
      </c>
      <c r="D149" t="inlineStr">
        <is>
          <t>上海联炻企业管理中心(有限合伙) (认缴→存量)</t>
        </is>
      </c>
      <c r="E149" t="inlineStr"/>
      <c r="F149" t="inlineStr"/>
      <c r="G149" t="inlineStr">
        <is>
          <t>297.3333</t>
        </is>
      </c>
      <c r="H149" t="inlineStr">
        <is>
          <t>297.3333</t>
        </is>
      </c>
      <c r="I149" t="inlineStr">
        <is>
          <t>297.3333</t>
        </is>
      </c>
      <c r="J149" t="inlineStr">
        <is>
          <t>0.0</t>
        </is>
      </c>
      <c r="K149" t="inlineStr">
        <is>
          <t>PASS</t>
        </is>
      </c>
      <c r="L149" t="inlineStr">
        <is>
          <t>认购数 vs 存量持股数</t>
        </is>
      </c>
    </row>
    <row r="150">
      <c r="A150" t="inlineStr">
        <is>
          <t>603418_友升股份</t>
        </is>
      </c>
      <c r="B150" t="inlineStr"/>
      <c r="C150" t="inlineStr">
        <is>
          <t>2022-12-19</t>
        </is>
      </c>
      <c r="D150" t="inlineStr">
        <is>
          <t>安吉璞颉企业管理合伙企业(有限合伙) (认缴→存量)</t>
        </is>
      </c>
      <c r="E150" t="inlineStr"/>
      <c r="F150" t="inlineStr"/>
      <c r="G150" t="inlineStr">
        <is>
          <t>148.6667</t>
        </is>
      </c>
      <c r="H150" t="inlineStr">
        <is>
          <t>148.6667</t>
        </is>
      </c>
      <c r="I150" t="inlineStr">
        <is>
          <t>148.6667</t>
        </is>
      </c>
      <c r="J150" t="inlineStr">
        <is>
          <t>0.0</t>
        </is>
      </c>
      <c r="K150" t="inlineStr">
        <is>
          <t>PASS</t>
        </is>
      </c>
      <c r="L150" t="inlineStr">
        <is>
          <t>认购数 vs 存量持股数</t>
        </is>
      </c>
    </row>
    <row r="151">
      <c r="A151" t="inlineStr">
        <is>
          <t>603418_友升股份</t>
        </is>
      </c>
      <c r="B151" t="inlineStr"/>
      <c r="C151" t="inlineStr">
        <is>
          <t>2022-12-19</t>
        </is>
      </c>
      <c r="D151" t="inlineStr">
        <is>
          <t>江西赣江新区财投晨源股权投资中心(有限合伙) (认缴→存量)</t>
        </is>
      </c>
      <c r="E151" t="inlineStr"/>
      <c r="F151" t="inlineStr"/>
      <c r="G151" t="inlineStr">
        <is>
          <t>89.2</t>
        </is>
      </c>
      <c r="H151" t="inlineStr">
        <is>
          <t>89.2</t>
        </is>
      </c>
      <c r="I151" t="inlineStr">
        <is>
          <t>89.2</t>
        </is>
      </c>
      <c r="J151" t="inlineStr">
        <is>
          <t>0.0</t>
        </is>
      </c>
      <c r="K151" t="inlineStr">
        <is>
          <t>PASS</t>
        </is>
      </c>
      <c r="L151" t="inlineStr">
        <is>
          <t>认购数 vs 存量持股数</t>
        </is>
      </c>
    </row>
    <row r="152">
      <c r="A152" t="inlineStr">
        <is>
          <t>603418_友升股份</t>
        </is>
      </c>
      <c r="B152" t="inlineStr"/>
      <c r="C152" t="inlineStr">
        <is>
          <t>2022-12-19</t>
        </is>
      </c>
      <c r="D152" t="inlineStr">
        <is>
          <t>深圳市达晨创程私募股权投资基金企业(有限合伙) (认缴→存量)</t>
        </is>
      </c>
      <c r="E152" t="inlineStr"/>
      <c r="F152" t="inlineStr"/>
      <c r="G152" t="inlineStr">
        <is>
          <t>86.5984</t>
        </is>
      </c>
      <c r="H152" t="inlineStr">
        <is>
          <t>86.5984</t>
        </is>
      </c>
      <c r="I152" t="inlineStr">
        <is>
          <t>86.5984</t>
        </is>
      </c>
      <c r="J152" t="inlineStr">
        <is>
          <t>0.0</t>
        </is>
      </c>
      <c r="K152" t="inlineStr">
        <is>
          <t>PASS</t>
        </is>
      </c>
      <c r="L152" t="inlineStr">
        <is>
          <t>认购数 vs 存量持股数</t>
        </is>
      </c>
    </row>
    <row r="153">
      <c r="A153" t="inlineStr">
        <is>
          <t>603418_友升股份</t>
        </is>
      </c>
      <c r="B153" t="inlineStr"/>
      <c r="C153" t="inlineStr">
        <is>
          <t>2022-12-19</t>
        </is>
      </c>
      <c r="D153" t="inlineStr">
        <is>
          <t>上海杉创智至创业投资合伙企业(有限合伙) (认缴→存量)</t>
        </is>
      </c>
      <c r="E153" t="inlineStr"/>
      <c r="F153" t="inlineStr"/>
      <c r="G153" t="inlineStr">
        <is>
          <t>59.4667</t>
        </is>
      </c>
      <c r="H153" t="inlineStr">
        <is>
          <t>59.4667</t>
        </is>
      </c>
      <c r="I153" t="inlineStr">
        <is>
          <t>59.4667</t>
        </is>
      </c>
      <c r="J153" t="inlineStr">
        <is>
          <t>0.0</t>
        </is>
      </c>
      <c r="K153" t="inlineStr">
        <is>
          <t>PASS</t>
        </is>
      </c>
      <c r="L153" t="inlineStr">
        <is>
          <t>认购数 vs 存量持股数</t>
        </is>
      </c>
    </row>
    <row r="154">
      <c r="A154" t="inlineStr">
        <is>
          <t>603418_友升股份</t>
        </is>
      </c>
      <c r="B154" t="inlineStr"/>
      <c r="C154" t="inlineStr">
        <is>
          <t>2022-12-19</t>
        </is>
      </c>
      <c r="D154" t="inlineStr">
        <is>
          <t>杭州达晨创程股权投资基金合伙企业(有限合伙) (认缴→存量)</t>
        </is>
      </c>
      <c r="E154" t="inlineStr"/>
      <c r="F154" t="inlineStr"/>
      <c r="G154" t="inlineStr">
        <is>
          <t>51.959</t>
        </is>
      </c>
      <c r="H154" t="inlineStr">
        <is>
          <t>51.959</t>
        </is>
      </c>
      <c r="I154" t="inlineStr">
        <is>
          <t>51.959</t>
        </is>
      </c>
      <c r="J154" t="inlineStr">
        <is>
          <t>0.0</t>
        </is>
      </c>
      <c r="K154" t="inlineStr">
        <is>
          <t>PASS</t>
        </is>
      </c>
      <c r="L154" t="inlineStr">
        <is>
          <t>认购数 vs 存量持股数</t>
        </is>
      </c>
    </row>
    <row r="155">
      <c r="A155" t="inlineStr">
        <is>
          <t>603418_友升股份</t>
        </is>
      </c>
      <c r="B155" t="inlineStr"/>
      <c r="C155" t="inlineStr">
        <is>
          <t>2022-12-19</t>
        </is>
      </c>
      <c r="D155" t="inlineStr">
        <is>
          <t>海南三亚达晨财汇私募股权投资基金合伙企业(有限合伙) (认缴→存量)</t>
        </is>
      </c>
      <c r="E155" t="inlineStr"/>
      <c r="F155" t="inlineStr"/>
      <c r="G155" t="inlineStr">
        <is>
          <t>29.7333</t>
        </is>
      </c>
      <c r="H155" t="inlineStr">
        <is>
          <t>29.7333</t>
        </is>
      </c>
      <c r="I155" t="inlineStr">
        <is>
          <t>29.7333</t>
        </is>
      </c>
      <c r="J155" t="inlineStr">
        <is>
          <t>0.0</t>
        </is>
      </c>
      <c r="K155" t="inlineStr">
        <is>
          <t>PASS</t>
        </is>
      </c>
      <c r="L155" t="inlineStr">
        <is>
          <t>认购数 vs 存量持股数</t>
        </is>
      </c>
    </row>
    <row r="156">
      <c r="A156" t="inlineStr">
        <is>
          <t>603418_友升股份</t>
        </is>
      </c>
      <c r="B156" t="inlineStr"/>
      <c r="C156" t="inlineStr">
        <is>
          <t>2022-12-19</t>
        </is>
      </c>
      <c r="D156" t="inlineStr">
        <is>
          <t>深圳市达晨财智创业投资管理有限公司 (认缴→存量)</t>
        </is>
      </c>
      <c r="E156" t="inlineStr"/>
      <c r="F156" t="inlineStr"/>
      <c r="G156" t="inlineStr">
        <is>
          <t>29.7333</t>
        </is>
      </c>
      <c r="H156" t="inlineStr">
        <is>
          <t>29.7333</t>
        </is>
      </c>
      <c r="I156" t="inlineStr">
        <is>
          <t>29.7333</t>
        </is>
      </c>
      <c r="J156" t="inlineStr">
        <is>
          <t>0.0</t>
        </is>
      </c>
      <c r="K156" t="inlineStr">
        <is>
          <t>PASS</t>
        </is>
      </c>
      <c r="L156" t="inlineStr">
        <is>
          <t>认购数 vs 存量持股数</t>
        </is>
      </c>
    </row>
    <row r="157">
      <c r="A157" t="inlineStr">
        <is>
          <t>603418_友升股份</t>
        </is>
      </c>
      <c r="B157" t="inlineStr"/>
      <c r="C157" t="inlineStr">
        <is>
          <t>2022-12-19</t>
        </is>
      </c>
      <c r="D157" t="inlineStr">
        <is>
          <t>深圳市财智创赢私募股权投资企业(有限合伙) (认缴→存量)</t>
        </is>
      </c>
      <c r="E157" t="inlineStr"/>
      <c r="F157" t="inlineStr"/>
      <c r="G157" t="inlineStr">
        <is>
          <t>10.1093</t>
        </is>
      </c>
      <c r="H157" t="inlineStr">
        <is>
          <t>10.1093</t>
        </is>
      </c>
      <c r="I157" t="inlineStr">
        <is>
          <t>10.1093</t>
        </is>
      </c>
      <c r="J157" t="inlineStr">
        <is>
          <t>0.0</t>
        </is>
      </c>
      <c r="K157" t="inlineStr">
        <is>
          <t>PASS</t>
        </is>
      </c>
      <c r="L157" t="inlineStr">
        <is>
          <t>认购数 vs 存量持股数</t>
        </is>
      </c>
    </row>
    <row r="158">
      <c r="A158" t="inlineStr">
        <is>
          <t>688758_赛分科技</t>
        </is>
      </c>
      <c r="B158" t="inlineStr">
        <is>
          <t>2011-10</t>
        </is>
      </c>
      <c r="C158" t="inlineStr">
        <is>
          <t>2021-09-16</t>
        </is>
      </c>
      <c r="D158" t="inlineStr">
        <is>
          <t>黄学英/刘鸿雁</t>
        </is>
      </c>
      <c r="E158" t="inlineStr"/>
      <c r="F158" t="inlineStr"/>
      <c r="G158" t="inlineStr"/>
      <c r="H158" t="inlineStr"/>
      <c r="I158" t="inlineStr"/>
      <c r="J158" t="inlineStr"/>
      <c r="K158" t="inlineStr">
        <is>
          <t>PASS</t>
        </is>
      </c>
      <c r="L158" t="inlineStr">
        <is>
          <t>退出</t>
        </is>
      </c>
    </row>
    <row r="159">
      <c r="A159" t="inlineStr">
        <is>
          <t>688758_赛分科技</t>
        </is>
      </c>
      <c r="B159" t="inlineStr">
        <is>
          <t>2011-10</t>
        </is>
      </c>
      <c r="C159" t="inlineStr">
        <is>
          <t>2021-09-16</t>
        </is>
      </c>
      <c r="D159" t="inlineStr">
        <is>
          <t>陆民</t>
        </is>
      </c>
      <c r="E159" t="inlineStr"/>
      <c r="F159" t="inlineStr"/>
      <c r="G159" t="inlineStr"/>
      <c r="H159" t="inlineStr"/>
      <c r="I159" t="inlineStr"/>
      <c r="J159" t="inlineStr"/>
      <c r="K159" t="inlineStr">
        <is>
          <t>PASS</t>
        </is>
      </c>
      <c r="L159" t="inlineStr"/>
    </row>
    <row r="160">
      <c r="A160" t="inlineStr">
        <is>
          <t>688758_赛分科技</t>
        </is>
      </c>
      <c r="B160" t="inlineStr">
        <is>
          <t>2011-10</t>
        </is>
      </c>
      <c r="C160" t="inlineStr">
        <is>
          <t>2021-09-16</t>
        </is>
      </c>
      <c r="D160" t="inlineStr">
        <is>
          <t>周乃鼎</t>
        </is>
      </c>
      <c r="E160" t="inlineStr"/>
      <c r="F160" t="inlineStr"/>
      <c r="G160" t="inlineStr"/>
      <c r="H160" t="inlineStr"/>
      <c r="I160" t="inlineStr"/>
      <c r="J160" t="inlineStr"/>
      <c r="K160" t="inlineStr">
        <is>
          <t>PASS</t>
        </is>
      </c>
      <c r="L160" t="inlineStr">
        <is>
          <t>退出</t>
        </is>
      </c>
    </row>
    <row r="161">
      <c r="A161" t="inlineStr">
        <is>
          <t>688758_赛分科技</t>
        </is>
      </c>
      <c r="B161" t="inlineStr">
        <is>
          <t>2011-10</t>
        </is>
      </c>
      <c r="C161" t="inlineStr">
        <is>
          <t>2021-09-16</t>
        </is>
      </c>
      <c r="D161" t="inlineStr">
        <is>
          <t>黄学英</t>
        </is>
      </c>
      <c r="E161" t="inlineStr"/>
      <c r="F161" t="inlineStr"/>
      <c r="G161" t="inlineStr"/>
      <c r="H161" t="inlineStr"/>
      <c r="I161" t="inlineStr"/>
      <c r="J161" t="inlineStr"/>
      <c r="K161" t="inlineStr">
        <is>
          <t>PASS</t>
        </is>
      </c>
      <c r="L161" t="inlineStr">
        <is>
          <t>新增</t>
        </is>
      </c>
    </row>
    <row r="162">
      <c r="A162" t="inlineStr">
        <is>
          <t>688758_赛分科技</t>
        </is>
      </c>
      <c r="B162" t="inlineStr">
        <is>
          <t>2011-10</t>
        </is>
      </c>
      <c r="C162" t="inlineStr">
        <is>
          <t>2021-09-16</t>
        </is>
      </c>
      <c r="D162" t="inlineStr">
        <is>
          <t>高新同华</t>
        </is>
      </c>
      <c r="E162" t="inlineStr"/>
      <c r="F162" t="inlineStr"/>
      <c r="G162" t="inlineStr"/>
      <c r="H162" t="inlineStr"/>
      <c r="I162" t="inlineStr"/>
      <c r="J162" t="inlineStr"/>
      <c r="K162" t="inlineStr">
        <is>
          <t>PASS</t>
        </is>
      </c>
      <c r="L162" t="inlineStr">
        <is>
          <t>新增</t>
        </is>
      </c>
    </row>
    <row r="163">
      <c r="A163" t="inlineStr">
        <is>
          <t>688758_赛分科技</t>
        </is>
      </c>
      <c r="B163" t="inlineStr">
        <is>
          <t>2011-10</t>
        </is>
      </c>
      <c r="C163" t="inlineStr">
        <is>
          <t>2021-09-16</t>
        </is>
      </c>
      <c r="D163" t="inlineStr">
        <is>
          <t>Cheer Rise Consultants Limited</t>
        </is>
      </c>
      <c r="E163" t="inlineStr"/>
      <c r="F163" t="inlineStr"/>
      <c r="G163" t="inlineStr"/>
      <c r="H163" t="inlineStr"/>
      <c r="I163" t="inlineStr"/>
      <c r="J163" t="inlineStr"/>
      <c r="K163" t="inlineStr">
        <is>
          <t>PASS</t>
        </is>
      </c>
      <c r="L163" t="inlineStr">
        <is>
          <t>退出</t>
        </is>
      </c>
    </row>
    <row r="164">
      <c r="A164" t="inlineStr">
        <is>
          <t>688758_赛分科技</t>
        </is>
      </c>
      <c r="B164" t="inlineStr">
        <is>
          <t>2011-10</t>
        </is>
      </c>
      <c r="C164" t="inlineStr">
        <is>
          <t>2021-09-16</t>
        </is>
      </c>
      <c r="D164" t="inlineStr">
        <is>
          <t>复星惟盈</t>
        </is>
      </c>
      <c r="E164" t="inlineStr"/>
      <c r="F164" t="inlineStr"/>
      <c r="G164" t="inlineStr"/>
      <c r="H164" t="inlineStr"/>
      <c r="I164" t="inlineStr"/>
      <c r="J164" t="inlineStr"/>
      <c r="K164" t="inlineStr">
        <is>
          <t>PASS</t>
        </is>
      </c>
      <c r="L164" t="inlineStr">
        <is>
          <t>新增</t>
        </is>
      </c>
    </row>
    <row r="165">
      <c r="A165" t="inlineStr">
        <is>
          <t>688758_赛分科技</t>
        </is>
      </c>
      <c r="B165" t="inlineStr">
        <is>
          <t>2011-10</t>
        </is>
      </c>
      <c r="C165" t="inlineStr">
        <is>
          <t>2021-09-16</t>
        </is>
      </c>
      <c r="D165" t="inlineStr">
        <is>
          <t>周金清</t>
        </is>
      </c>
      <c r="E165" t="inlineStr"/>
      <c r="F165" t="inlineStr"/>
      <c r="G165" t="inlineStr"/>
      <c r="H165" t="inlineStr"/>
      <c r="I165" t="inlineStr"/>
      <c r="J165" t="inlineStr"/>
      <c r="K165" t="inlineStr">
        <is>
          <t>PASS</t>
        </is>
      </c>
      <c r="L165" t="inlineStr">
        <is>
          <t>新增</t>
        </is>
      </c>
    </row>
    <row r="166">
      <c r="A166" t="inlineStr">
        <is>
          <t>688758_赛分科技</t>
        </is>
      </c>
      <c r="B166" t="inlineStr">
        <is>
          <t>2011-10</t>
        </is>
      </c>
      <c r="C166" t="inlineStr">
        <is>
          <t>2021-09-16</t>
        </is>
      </c>
      <c r="D166" t="inlineStr">
        <is>
          <t>苏州贤达</t>
        </is>
      </c>
      <c r="E166" t="inlineStr"/>
      <c r="F166" t="inlineStr"/>
      <c r="G166" t="inlineStr"/>
      <c r="H166" t="inlineStr"/>
      <c r="I166" t="inlineStr"/>
      <c r="J166" t="inlineStr"/>
      <c r="K166" t="inlineStr">
        <is>
          <t>PASS</t>
        </is>
      </c>
      <c r="L166" t="inlineStr">
        <is>
          <t>新增</t>
        </is>
      </c>
    </row>
    <row r="167">
      <c r="A167" t="inlineStr">
        <is>
          <t>688758_赛分科技</t>
        </is>
      </c>
      <c r="B167" t="inlineStr">
        <is>
          <t>2011-10</t>
        </is>
      </c>
      <c r="C167" t="inlineStr">
        <is>
          <t>2021-09-16</t>
        </is>
      </c>
      <c r="D167" t="inlineStr">
        <is>
          <t>史建伟</t>
        </is>
      </c>
      <c r="E167" t="inlineStr"/>
      <c r="F167" t="inlineStr"/>
      <c r="G167" t="inlineStr"/>
      <c r="H167" t="inlineStr"/>
      <c r="I167" t="inlineStr"/>
      <c r="J167" t="inlineStr"/>
      <c r="K167" t="inlineStr">
        <is>
          <t>PASS</t>
        </is>
      </c>
      <c r="L167" t="inlineStr">
        <is>
          <t>退出</t>
        </is>
      </c>
    </row>
    <row r="168">
      <c r="A168" t="inlineStr">
        <is>
          <t>688758_赛分科技</t>
        </is>
      </c>
      <c r="B168" t="inlineStr">
        <is>
          <t>2011-10</t>
        </is>
      </c>
      <c r="C168" t="inlineStr">
        <is>
          <t>2021-09-16</t>
        </is>
      </c>
      <c r="D168" t="inlineStr">
        <is>
          <t>国寿疌泉</t>
        </is>
      </c>
      <c r="E168" t="inlineStr"/>
      <c r="F168" t="inlineStr"/>
      <c r="G168" t="inlineStr"/>
      <c r="H168" t="inlineStr"/>
      <c r="I168" t="inlineStr"/>
      <c r="J168" t="inlineStr"/>
      <c r="K168" t="inlineStr">
        <is>
          <t>PASS</t>
        </is>
      </c>
      <c r="L168" t="inlineStr">
        <is>
          <t>新增</t>
        </is>
      </c>
    </row>
    <row r="169">
      <c r="A169" t="inlineStr">
        <is>
          <t>688758_赛分科技</t>
        </is>
      </c>
      <c r="B169" t="inlineStr">
        <is>
          <t>2011-10</t>
        </is>
      </c>
      <c r="C169" t="inlineStr">
        <is>
          <t>2021-09-16</t>
        </is>
      </c>
      <c r="D169" t="inlineStr">
        <is>
          <t>华泰大健康一号</t>
        </is>
      </c>
      <c r="E169" t="inlineStr"/>
      <c r="F169" t="inlineStr"/>
      <c r="G169" t="inlineStr"/>
      <c r="H169" t="inlineStr"/>
      <c r="I169" t="inlineStr"/>
      <c r="J169" t="inlineStr"/>
      <c r="K169" t="inlineStr">
        <is>
          <t>PASS</t>
        </is>
      </c>
      <c r="L169" t="inlineStr">
        <is>
          <t>新增</t>
        </is>
      </c>
    </row>
    <row r="170">
      <c r="A170" t="inlineStr">
        <is>
          <t>688775_影石创新</t>
        </is>
      </c>
      <c r="B170" t="inlineStr">
        <is>
          <t>2015-07-09</t>
        </is>
      </c>
      <c r="C170" t="inlineStr">
        <is>
          <t>2020-02-26</t>
        </is>
      </c>
      <c r="D170" t="inlineStr">
        <is>
          <t>香港迅雷有限公司</t>
        </is>
      </c>
      <c r="E170" t="inlineStr"/>
      <c r="F170" t="inlineStr"/>
      <c r="G170" t="inlineStr"/>
      <c r="H170" t="inlineStr"/>
      <c r="I170" t="inlineStr"/>
      <c r="J170" t="inlineStr"/>
      <c r="K170" t="inlineStr">
        <is>
          <t>PASS</t>
        </is>
      </c>
      <c r="L170" t="inlineStr">
        <is>
          <t>新增</t>
        </is>
      </c>
    </row>
    <row r="171">
      <c r="A171" t="inlineStr">
        <is>
          <t>688775_影石创新</t>
        </is>
      </c>
      <c r="B171" t="inlineStr">
        <is>
          <t>2015-07-09</t>
        </is>
      </c>
      <c r="C171" t="inlineStr">
        <is>
          <t>2020-02-26</t>
        </is>
      </c>
      <c r="D171" t="inlineStr">
        <is>
          <t>北京岚锋创视网络科技有限公司</t>
        </is>
      </c>
      <c r="E171" t="inlineStr"/>
      <c r="F171" t="inlineStr">
        <is>
          <t>1000.0</t>
        </is>
      </c>
      <c r="G171" t="inlineStr"/>
      <c r="H171" t="inlineStr"/>
      <c r="I171" t="inlineStr"/>
      <c r="J171" t="inlineStr"/>
      <c r="K171" t="inlineStr">
        <is>
          <t>PASS</t>
        </is>
      </c>
      <c r="L171" t="inlineStr"/>
    </row>
    <row r="172">
      <c r="A172" t="inlineStr">
        <is>
          <t>688775_影石创新</t>
        </is>
      </c>
      <c r="B172" t="inlineStr">
        <is>
          <t>2015-07-09</t>
        </is>
      </c>
      <c r="C172" t="inlineStr">
        <is>
          <t>2020-02-26</t>
        </is>
      </c>
      <c r="D172" t="inlineStr">
        <is>
          <t>QM101 Limited</t>
        </is>
      </c>
      <c r="E172" t="inlineStr"/>
      <c r="F172" t="inlineStr"/>
      <c r="G172" t="inlineStr"/>
      <c r="H172" t="inlineStr"/>
      <c r="I172" t="inlineStr"/>
      <c r="J172" t="inlineStr"/>
      <c r="K172" t="inlineStr">
        <is>
          <t>PASS</t>
        </is>
      </c>
      <c r="L172" t="inlineStr">
        <is>
          <t>新增</t>
        </is>
      </c>
    </row>
    <row r="173">
      <c r="A173" t="inlineStr">
        <is>
          <t>688775_影石创新</t>
        </is>
      </c>
      <c r="B173" t="inlineStr">
        <is>
          <t>2015-07-09</t>
        </is>
      </c>
      <c r="C173" t="inlineStr">
        <is>
          <t>2020-02-26</t>
        </is>
      </c>
      <c r="D173" t="inlineStr">
        <is>
          <t>EARN ACE LIMITED</t>
        </is>
      </c>
      <c r="E173" t="inlineStr"/>
      <c r="F173" t="inlineStr"/>
      <c r="G173" t="inlineStr"/>
      <c r="H173" t="inlineStr"/>
      <c r="I173" t="inlineStr"/>
      <c r="J173" t="inlineStr"/>
      <c r="K173" t="inlineStr">
        <is>
          <t>PASS</t>
        </is>
      </c>
      <c r="L173" t="inlineStr">
        <is>
          <t>新增</t>
        </is>
      </c>
    </row>
    <row r="174">
      <c r="A174" t="inlineStr">
        <is>
          <t>688775_影石创新</t>
        </is>
      </c>
      <c r="B174" t="inlineStr">
        <is>
          <t>2020-02-26</t>
        </is>
      </c>
      <c r="C174" t="inlineStr">
        <is>
          <t>2023-03-24</t>
        </is>
      </c>
      <c r="D174" t="inlineStr">
        <is>
          <t>汇智同裕（深圳）投资合伙企业（有限合伙）</t>
        </is>
      </c>
      <c r="E174" t="inlineStr"/>
      <c r="F174" t="inlineStr"/>
      <c r="G174" t="inlineStr"/>
      <c r="H174" t="inlineStr"/>
      <c r="I174" t="inlineStr"/>
      <c r="J174" t="inlineStr"/>
      <c r="K174" t="inlineStr">
        <is>
          <t>PASS</t>
        </is>
      </c>
      <c r="L174" t="inlineStr">
        <is>
          <t>新增</t>
        </is>
      </c>
    </row>
    <row r="175">
      <c r="A175" t="inlineStr">
        <is>
          <t>688775_影石创新</t>
        </is>
      </c>
      <c r="B175" t="inlineStr">
        <is>
          <t>2020-02-26</t>
        </is>
      </c>
      <c r="C175" t="inlineStr">
        <is>
          <t>2023-03-24</t>
        </is>
      </c>
      <c r="D175" t="inlineStr">
        <is>
          <t>香港迅雷有限公司</t>
        </is>
      </c>
      <c r="E175" t="inlineStr"/>
      <c r="F175" t="inlineStr"/>
      <c r="G175" t="inlineStr"/>
      <c r="H175" t="inlineStr"/>
      <c r="I175" t="inlineStr"/>
      <c r="J175" t="inlineStr"/>
      <c r="K175" t="inlineStr">
        <is>
          <t>PASS</t>
        </is>
      </c>
      <c r="L175" t="inlineStr">
        <is>
          <t>退出</t>
        </is>
      </c>
    </row>
    <row r="176">
      <c r="A176" t="inlineStr">
        <is>
          <t>688775_影石创新</t>
        </is>
      </c>
      <c r="B176" t="inlineStr">
        <is>
          <t>2020-02-26</t>
        </is>
      </c>
      <c r="C176" t="inlineStr">
        <is>
          <t>2023-03-24</t>
        </is>
      </c>
      <c r="D176" t="inlineStr">
        <is>
          <t>北京岚锋创视网络科技有限公司</t>
        </is>
      </c>
      <c r="E176" t="inlineStr"/>
      <c r="F176" t="inlineStr"/>
      <c r="G176" t="inlineStr"/>
      <c r="H176" t="inlineStr"/>
      <c r="I176" t="inlineStr"/>
      <c r="J176" t="inlineStr"/>
      <c r="K176" t="inlineStr">
        <is>
          <t>PASS</t>
        </is>
      </c>
      <c r="L176" t="inlineStr">
        <is>
          <t>退出</t>
        </is>
      </c>
    </row>
    <row r="177">
      <c r="A177" t="inlineStr">
        <is>
          <t>688775_影石创新</t>
        </is>
      </c>
      <c r="B177" t="inlineStr">
        <is>
          <t>2020-02-26</t>
        </is>
      </c>
      <c r="C177" t="inlineStr">
        <is>
          <t>2023-03-24</t>
        </is>
      </c>
      <c r="D177" t="inlineStr">
        <is>
          <t>QM101 Limited</t>
        </is>
      </c>
      <c r="E177" t="inlineStr"/>
      <c r="F177" t="inlineStr"/>
      <c r="G177" t="inlineStr"/>
      <c r="H177" t="inlineStr"/>
      <c r="I177" t="inlineStr"/>
      <c r="J177" t="inlineStr"/>
      <c r="K177" t="inlineStr">
        <is>
          <t>PASS</t>
        </is>
      </c>
      <c r="L177" t="inlineStr">
        <is>
          <t>退出</t>
        </is>
      </c>
    </row>
    <row r="178">
      <c r="A178" t="inlineStr">
        <is>
          <t>688775_影石创新</t>
        </is>
      </c>
      <c r="B178" t="inlineStr">
        <is>
          <t>2020-02-26</t>
        </is>
      </c>
      <c r="C178" t="inlineStr">
        <is>
          <t>2023-03-24</t>
        </is>
      </c>
      <c r="D178" t="inlineStr">
        <is>
          <t>EARN ACE LIMITED</t>
        </is>
      </c>
      <c r="E178" t="inlineStr"/>
      <c r="F178" t="inlineStr"/>
      <c r="G178" t="inlineStr"/>
      <c r="H178" t="inlineStr"/>
      <c r="I178" t="inlineStr"/>
      <c r="J178" t="inlineStr"/>
      <c r="K178" t="inlineStr">
        <is>
          <t>PASS</t>
        </is>
      </c>
      <c r="L178" t="inlineStr">
        <is>
          <t>退出</t>
        </is>
      </c>
    </row>
    <row r="179">
      <c r="A179" t="inlineStr">
        <is>
          <t>920100_三协电机</t>
        </is>
      </c>
      <c r="B179" t="inlineStr"/>
      <c r="C179" t="inlineStr">
        <is>
          <t>2023-09-06</t>
        </is>
      </c>
      <c r="D179" t="inlineStr">
        <is>
          <t>盛祎、盛松、薛小丽、倪进宽、余方成、吴春扣、陆宇君、戈翔俊、陈都亮、圣利、董雪强、文涛、付荷庆、陈韵、盛月瑶</t>
        </is>
      </c>
      <c r="E179" t="inlineStr"/>
      <c r="F179" t="inlineStr"/>
      <c r="G179" t="inlineStr">
        <is>
          <t>321.5</t>
        </is>
      </c>
      <c r="H179" t="inlineStr">
        <is>
          <t>1739.315</t>
        </is>
      </c>
      <c r="I179" t="inlineStr">
        <is>
          <t>1723.09</t>
        </is>
      </c>
      <c r="J179" t="inlineStr">
        <is>
          <t>16.225</t>
        </is>
      </c>
      <c r="K179" t="inlineStr">
        <is>
          <t>待复核</t>
        </is>
      </c>
      <c r="L179" t="inlineStr">
        <is>
          <t>price×shares vs amount diff=0.9%</t>
        </is>
      </c>
    </row>
    <row r="180">
      <c r="A180" t="inlineStr">
        <is>
          <t>920116_星图测控</t>
        </is>
      </c>
      <c r="B180" t="inlineStr">
        <is>
          <t>2016-12-14</t>
        </is>
      </c>
      <c r="C180" t="inlineStr">
        <is>
          <t>2017-10-25</t>
        </is>
      </c>
      <c r="D180" t="inlineStr">
        <is>
          <t>吴功友(王金林代持)</t>
        </is>
      </c>
      <c r="E180" t="inlineStr"/>
      <c r="F180" t="inlineStr">
        <is>
          <t>400.0</t>
        </is>
      </c>
      <c r="G180" t="inlineStr"/>
      <c r="H180" t="inlineStr"/>
      <c r="I180" t="inlineStr"/>
      <c r="J180" t="inlineStr"/>
      <c r="K180" t="inlineStr">
        <is>
          <t>PASS</t>
        </is>
      </c>
      <c r="L180" t="inlineStr">
        <is>
          <t>退出</t>
        </is>
      </c>
    </row>
    <row r="181">
      <c r="A181" t="inlineStr">
        <is>
          <t>920116_星图测控</t>
        </is>
      </c>
      <c r="B181" t="inlineStr">
        <is>
          <t>2016-12-14</t>
        </is>
      </c>
      <c r="C181" t="inlineStr">
        <is>
          <t>2017-10-25</t>
        </is>
      </c>
      <c r="D181" t="inlineStr">
        <is>
          <t>四方股份</t>
        </is>
      </c>
      <c r="E181" t="inlineStr"/>
      <c r="F181" t="inlineStr">
        <is>
          <t>1200.0</t>
        </is>
      </c>
      <c r="G181" t="inlineStr"/>
      <c r="H181" t="inlineStr"/>
      <c r="I181" t="inlineStr"/>
      <c r="J181" t="inlineStr"/>
      <c r="K181" t="inlineStr">
        <is>
          <t>PASS</t>
        </is>
      </c>
      <c r="L181" t="inlineStr">
        <is>
          <t>退出</t>
        </is>
      </c>
    </row>
    <row r="182">
      <c r="A182" t="inlineStr">
        <is>
          <t>920116_星图测控</t>
        </is>
      </c>
      <c r="B182" t="inlineStr">
        <is>
          <t>2016-12-14</t>
        </is>
      </c>
      <c r="C182" t="inlineStr">
        <is>
          <t>2017-10-25</t>
        </is>
      </c>
      <c r="D182" t="inlineStr">
        <is>
          <t>牛威</t>
        </is>
      </c>
      <c r="E182" t="inlineStr"/>
      <c r="F182" t="inlineStr"/>
      <c r="G182" t="inlineStr"/>
      <c r="H182" t="inlineStr"/>
      <c r="I182" t="inlineStr"/>
      <c r="J182" t="inlineStr"/>
      <c r="K182" t="inlineStr">
        <is>
          <t>PASS</t>
        </is>
      </c>
      <c r="L182" t="inlineStr">
        <is>
          <t>新增</t>
        </is>
      </c>
    </row>
    <row r="183">
      <c r="A183" t="inlineStr">
        <is>
          <t>920116_星图测控</t>
        </is>
      </c>
      <c r="B183" t="inlineStr">
        <is>
          <t>2016-12-14</t>
        </is>
      </c>
      <c r="C183" t="inlineStr">
        <is>
          <t>2017-10-25</t>
        </is>
      </c>
      <c r="D183" t="inlineStr">
        <is>
          <t>牛威(罗永红代持)</t>
        </is>
      </c>
      <c r="E183" t="inlineStr"/>
      <c r="F183" t="inlineStr">
        <is>
          <t>400.0</t>
        </is>
      </c>
      <c r="G183" t="inlineStr"/>
      <c r="H183" t="inlineStr"/>
      <c r="I183" t="inlineStr"/>
      <c r="J183" t="inlineStr"/>
      <c r="K183" t="inlineStr">
        <is>
          <t>PASS</t>
        </is>
      </c>
      <c r="L183" t="inlineStr">
        <is>
          <t>退出</t>
        </is>
      </c>
    </row>
    <row r="184">
      <c r="A184" t="inlineStr">
        <is>
          <t>920116_星图测控</t>
        </is>
      </c>
      <c r="B184" t="inlineStr">
        <is>
          <t>2016-12-14</t>
        </is>
      </c>
      <c r="C184" t="inlineStr">
        <is>
          <t>2017-10-25</t>
        </is>
      </c>
      <c r="D184" t="inlineStr">
        <is>
          <t>吴功友</t>
        </is>
      </c>
      <c r="E184" t="inlineStr"/>
      <c r="F184" t="inlineStr"/>
      <c r="G184" t="inlineStr"/>
      <c r="H184" t="inlineStr"/>
      <c r="I184" t="inlineStr"/>
      <c r="J184" t="inlineStr"/>
      <c r="K184" t="inlineStr">
        <is>
          <t>PASS</t>
        </is>
      </c>
      <c r="L184" t="inlineStr">
        <is>
          <t>新增</t>
        </is>
      </c>
    </row>
    <row r="185">
      <c r="A185" t="inlineStr">
        <is>
          <t>920116_星图测控</t>
        </is>
      </c>
      <c r="B185" t="inlineStr">
        <is>
          <t>2017-10-25</t>
        </is>
      </c>
      <c r="C185" t="inlineStr">
        <is>
          <t>2024-06-30</t>
        </is>
      </c>
      <c r="D185" t="inlineStr">
        <is>
          <t>牛威</t>
        </is>
      </c>
      <c r="E185" t="inlineStr"/>
      <c r="F185" t="inlineStr">
        <is>
          <t>0.0</t>
        </is>
      </c>
      <c r="G185" t="inlineStr"/>
      <c r="H185" t="inlineStr"/>
      <c r="I185" t="inlineStr"/>
      <c r="J185" t="inlineStr"/>
      <c r="K185" t="inlineStr">
        <is>
          <t>PASS</t>
        </is>
      </c>
      <c r="L185" t="inlineStr">
        <is>
          <t>退出</t>
        </is>
      </c>
    </row>
    <row r="186">
      <c r="A186" t="inlineStr">
        <is>
          <t>920116_星图测控</t>
        </is>
      </c>
      <c r="B186" t="inlineStr">
        <is>
          <t>2017-10-25</t>
        </is>
      </c>
      <c r="C186" t="inlineStr">
        <is>
          <t>2024-06-30</t>
        </is>
      </c>
      <c r="D186" t="inlineStr">
        <is>
          <t>幸福二期</t>
        </is>
      </c>
      <c r="E186" t="inlineStr"/>
      <c r="F186" t="inlineStr"/>
      <c r="G186" t="inlineStr">
        <is>
          <t>300.0</t>
        </is>
      </c>
      <c r="H186" t="inlineStr"/>
      <c r="I186" t="inlineStr">
        <is>
          <t>300.0</t>
        </is>
      </c>
      <c r="J186" t="inlineStr"/>
      <c r="K186" t="inlineStr">
        <is>
          <t>PASS</t>
        </is>
      </c>
      <c r="L186" t="inlineStr">
        <is>
          <t>新增</t>
        </is>
      </c>
    </row>
    <row r="187">
      <c r="A187" t="inlineStr">
        <is>
          <t>920116_星图测控</t>
        </is>
      </c>
      <c r="B187" t="inlineStr">
        <is>
          <t>2017-10-25</t>
        </is>
      </c>
      <c r="C187" t="inlineStr">
        <is>
          <t>2024-06-30</t>
        </is>
      </c>
      <c r="D187" t="inlineStr">
        <is>
          <t>中科星图股份有限公司</t>
        </is>
      </c>
      <c r="E187" t="inlineStr"/>
      <c r="F187" t="inlineStr"/>
      <c r="G187" t="inlineStr">
        <is>
          <t>3825.0</t>
        </is>
      </c>
      <c r="H187" t="inlineStr"/>
      <c r="I187" t="inlineStr">
        <is>
          <t>3825.0</t>
        </is>
      </c>
      <c r="J187" t="inlineStr"/>
      <c r="K187" t="inlineStr">
        <is>
          <t>PASS</t>
        </is>
      </c>
      <c r="L187" t="inlineStr">
        <is>
          <t>新增</t>
        </is>
      </c>
    </row>
    <row r="188">
      <c r="A188" t="inlineStr">
        <is>
          <t>920116_星图测控</t>
        </is>
      </c>
      <c r="B188" t="inlineStr">
        <is>
          <t>2017-10-25</t>
        </is>
      </c>
      <c r="C188" t="inlineStr">
        <is>
          <t>2024-06-30</t>
        </is>
      </c>
      <c r="D188" t="inlineStr">
        <is>
          <t>策星九天</t>
        </is>
      </c>
      <c r="E188" t="inlineStr"/>
      <c r="F188" t="inlineStr"/>
      <c r="G188" t="inlineStr">
        <is>
          <t>2345.0781</t>
        </is>
      </c>
      <c r="H188" t="inlineStr"/>
      <c r="I188" t="inlineStr">
        <is>
          <t>2345.0781</t>
        </is>
      </c>
      <c r="J188" t="inlineStr"/>
      <c r="K188" t="inlineStr">
        <is>
          <t>PASS</t>
        </is>
      </c>
      <c r="L188" t="inlineStr">
        <is>
          <t>新增</t>
        </is>
      </c>
    </row>
    <row r="189">
      <c r="A189" t="inlineStr">
        <is>
          <t>920116_星图测控</t>
        </is>
      </c>
      <c r="B189" t="inlineStr">
        <is>
          <t>2017-10-25</t>
        </is>
      </c>
      <c r="C189" t="inlineStr">
        <is>
          <t>2024-06-30</t>
        </is>
      </c>
      <c r="D189" t="inlineStr">
        <is>
          <t>幸福一期</t>
        </is>
      </c>
      <c r="E189" t="inlineStr"/>
      <c r="F189" t="inlineStr"/>
      <c r="G189" t="inlineStr">
        <is>
          <t>917.4219</t>
        </is>
      </c>
      <c r="H189" t="inlineStr"/>
      <c r="I189" t="inlineStr">
        <is>
          <t>917.4219</t>
        </is>
      </c>
      <c r="J189" t="inlineStr"/>
      <c r="K189" t="inlineStr">
        <is>
          <t>PASS</t>
        </is>
      </c>
      <c r="L189" t="inlineStr">
        <is>
          <t>新增</t>
        </is>
      </c>
    </row>
    <row r="190">
      <c r="A190" t="inlineStr">
        <is>
          <t>920116_星图测控</t>
        </is>
      </c>
      <c r="B190" t="inlineStr">
        <is>
          <t>2017-10-25</t>
        </is>
      </c>
      <c r="C190" t="inlineStr">
        <is>
          <t>2024-06-30</t>
        </is>
      </c>
      <c r="D190" t="inlineStr">
        <is>
          <t>策星揽月</t>
        </is>
      </c>
      <c r="E190" t="inlineStr"/>
      <c r="F190" t="inlineStr"/>
      <c r="G190" t="inlineStr">
        <is>
          <t>412.5</t>
        </is>
      </c>
      <c r="H190" t="inlineStr"/>
      <c r="I190" t="inlineStr">
        <is>
          <t>412.5</t>
        </is>
      </c>
      <c r="J190" t="inlineStr"/>
      <c r="K190" t="inlineStr">
        <is>
          <t>PASS</t>
        </is>
      </c>
      <c r="L190" t="inlineStr">
        <is>
          <t>新增</t>
        </is>
      </c>
    </row>
    <row r="191">
      <c r="A191" t="inlineStr">
        <is>
          <t>920116_星图测控</t>
        </is>
      </c>
      <c r="B191" t="inlineStr">
        <is>
          <t>2017-10-25</t>
        </is>
      </c>
      <c r="C191" t="inlineStr">
        <is>
          <t>2024-06-30</t>
        </is>
      </c>
      <c r="D191" t="inlineStr">
        <is>
          <t>吴功友</t>
        </is>
      </c>
      <c r="E191" t="inlineStr"/>
      <c r="F191" t="inlineStr">
        <is>
          <t>0.0</t>
        </is>
      </c>
      <c r="G191" t="inlineStr"/>
      <c r="H191" t="inlineStr"/>
      <c r="I191" t="inlineStr"/>
      <c r="J191" t="inlineStr"/>
      <c r="K191" t="inlineStr">
        <is>
          <t>PASS</t>
        </is>
      </c>
      <c r="L191" t="inlineStr">
        <is>
          <t>退出</t>
        </is>
      </c>
    </row>
    <row r="192">
      <c r="A192" t="inlineStr">
        <is>
          <t>920116_星图测控</t>
        </is>
      </c>
      <c r="B192" t="inlineStr">
        <is>
          <t>2017-10-25</t>
        </is>
      </c>
      <c r="C192" t="inlineStr">
        <is>
          <t>2024-06-30</t>
        </is>
      </c>
      <c r="D192" t="inlineStr">
        <is>
          <t>策星逐日</t>
        </is>
      </c>
      <c r="E192" t="inlineStr"/>
      <c r="F192" t="inlineStr"/>
      <c r="G192" t="inlineStr">
        <is>
          <t>171.0</t>
        </is>
      </c>
      <c r="H192" t="inlineStr"/>
      <c r="I192" t="inlineStr">
        <is>
          <t>171.0</t>
        </is>
      </c>
      <c r="J192" t="inlineStr"/>
      <c r="K192" t="inlineStr">
        <is>
          <t>PASS</t>
        </is>
      </c>
      <c r="L192" t="inlineStr">
        <is>
          <t>新增</t>
        </is>
      </c>
    </row>
    <row r="193">
      <c r="A193" t="inlineStr">
        <is>
          <t>920116_星图测控</t>
        </is>
      </c>
      <c r="B193" t="inlineStr">
        <is>
          <t>2017-10-25</t>
        </is>
      </c>
      <c r="C193" t="inlineStr">
        <is>
          <t>2024-06-30</t>
        </is>
      </c>
      <c r="D193" t="inlineStr">
        <is>
          <t>策星银河</t>
        </is>
      </c>
      <c r="E193" t="inlineStr"/>
      <c r="F193" t="inlineStr"/>
      <c r="G193" t="inlineStr">
        <is>
          <t>279.0</t>
        </is>
      </c>
      <c r="H193" t="inlineStr"/>
      <c r="I193" t="inlineStr">
        <is>
          <t>279.0</t>
        </is>
      </c>
      <c r="J193" t="inlineStr"/>
      <c r="K193" t="inlineStr">
        <is>
          <t>PASS</t>
        </is>
      </c>
      <c r="L193" t="inlineStr">
        <is>
          <t>新增</t>
        </is>
      </c>
    </row>
    <row r="194">
      <c r="A194" t="inlineStr">
        <is>
          <t>920116_星图测控</t>
        </is>
      </c>
      <c r="B194" t="inlineStr"/>
      <c r="C194" t="inlineStr">
        <is>
          <t>2024-06-30</t>
        </is>
      </c>
      <c r="D194" t="inlineStr">
        <is>
          <t>中科星图股份有限公司 (认缴→存量)</t>
        </is>
      </c>
      <c r="E194" t="inlineStr"/>
      <c r="F194" t="inlineStr"/>
      <c r="G194" t="inlineStr">
        <is>
          <t>3825.0</t>
        </is>
      </c>
      <c r="H194" t="inlineStr">
        <is>
          <t>3825.0</t>
        </is>
      </c>
      <c r="I194" t="inlineStr">
        <is>
          <t>3825.0</t>
        </is>
      </c>
      <c r="J194" t="inlineStr">
        <is>
          <t>0.0</t>
        </is>
      </c>
      <c r="K194" t="inlineStr">
        <is>
          <t>PASS</t>
        </is>
      </c>
      <c r="L194" t="inlineStr">
        <is>
          <t>认购数 vs 存量持股数</t>
        </is>
      </c>
    </row>
    <row r="195">
      <c r="A195" t="inlineStr">
        <is>
          <t>920116_星图测控</t>
        </is>
      </c>
      <c r="B195" t="inlineStr"/>
      <c r="C195" t="inlineStr">
        <is>
          <t>2024-06-30</t>
        </is>
      </c>
      <c r="D195" t="inlineStr">
        <is>
          <t>策星九天 (认缴→存量)</t>
        </is>
      </c>
      <c r="E195" t="inlineStr"/>
      <c r="F195" t="inlineStr"/>
      <c r="G195" t="inlineStr">
        <is>
          <t>2345.0781</t>
        </is>
      </c>
      <c r="H195" t="inlineStr">
        <is>
          <t>2345.0781</t>
        </is>
      </c>
      <c r="I195" t="inlineStr">
        <is>
          <t>2345.0781</t>
        </is>
      </c>
      <c r="J195" t="inlineStr">
        <is>
          <t>0.0</t>
        </is>
      </c>
      <c r="K195" t="inlineStr">
        <is>
          <t>PASS</t>
        </is>
      </c>
      <c r="L195" t="inlineStr">
        <is>
          <t>认购数 vs 存量持股数</t>
        </is>
      </c>
    </row>
    <row r="196">
      <c r="A196" t="inlineStr">
        <is>
          <t>920116_星图测控</t>
        </is>
      </c>
      <c r="B196" t="inlineStr"/>
      <c r="C196" t="inlineStr">
        <is>
          <t>2024-06-30</t>
        </is>
      </c>
      <c r="D196" t="inlineStr">
        <is>
          <t>幸福一期 (认缴→存量)</t>
        </is>
      </c>
      <c r="E196" t="inlineStr"/>
      <c r="F196" t="inlineStr"/>
      <c r="G196" t="inlineStr">
        <is>
          <t>917.4219</t>
        </is>
      </c>
      <c r="H196" t="inlineStr">
        <is>
          <t>917.4219</t>
        </is>
      </c>
      <c r="I196" t="inlineStr">
        <is>
          <t>917.4219</t>
        </is>
      </c>
      <c r="J196" t="inlineStr">
        <is>
          <t>0.0</t>
        </is>
      </c>
      <c r="K196" t="inlineStr">
        <is>
          <t>PASS</t>
        </is>
      </c>
      <c r="L196" t="inlineStr">
        <is>
          <t>认购数 vs 存量持股数</t>
        </is>
      </c>
    </row>
    <row r="197">
      <c r="A197" t="inlineStr">
        <is>
          <t>920116_星图测控</t>
        </is>
      </c>
      <c r="B197" t="inlineStr"/>
      <c r="C197" t="inlineStr">
        <is>
          <t>2024-06-30</t>
        </is>
      </c>
      <c r="D197" t="inlineStr">
        <is>
          <t>策星揽月 (认缴→存量)</t>
        </is>
      </c>
      <c r="E197" t="inlineStr"/>
      <c r="F197" t="inlineStr"/>
      <c r="G197" t="inlineStr">
        <is>
          <t>412.5</t>
        </is>
      </c>
      <c r="H197" t="inlineStr">
        <is>
          <t>412.5</t>
        </is>
      </c>
      <c r="I197" t="inlineStr">
        <is>
          <t>412.5</t>
        </is>
      </c>
      <c r="J197" t="inlineStr">
        <is>
          <t>0.0</t>
        </is>
      </c>
      <c r="K197" t="inlineStr">
        <is>
          <t>PASS</t>
        </is>
      </c>
      <c r="L197" t="inlineStr">
        <is>
          <t>认购数 vs 存量持股数</t>
        </is>
      </c>
    </row>
    <row r="198">
      <c r="A198" t="inlineStr">
        <is>
          <t>920116_星图测控</t>
        </is>
      </c>
      <c r="B198" t="inlineStr"/>
      <c r="C198" t="inlineStr">
        <is>
          <t>2024-06-30</t>
        </is>
      </c>
      <c r="D198" t="inlineStr">
        <is>
          <t>幸福二期 (认缴→存量)</t>
        </is>
      </c>
      <c r="E198" t="inlineStr"/>
      <c r="F198" t="inlineStr"/>
      <c r="G198" t="inlineStr">
        <is>
          <t>300.0</t>
        </is>
      </c>
      <c r="H198" t="inlineStr">
        <is>
          <t>300.0</t>
        </is>
      </c>
      <c r="I198" t="inlineStr">
        <is>
          <t>300.0</t>
        </is>
      </c>
      <c r="J198" t="inlineStr">
        <is>
          <t>0.0</t>
        </is>
      </c>
      <c r="K198" t="inlineStr">
        <is>
          <t>PASS</t>
        </is>
      </c>
      <c r="L198" t="inlineStr">
        <is>
          <t>认购数 vs 存量持股数</t>
        </is>
      </c>
    </row>
    <row r="199">
      <c r="A199" t="inlineStr">
        <is>
          <t>920116_星图测控</t>
        </is>
      </c>
      <c r="B199" t="inlineStr"/>
      <c r="C199" t="inlineStr">
        <is>
          <t>2024-06-30</t>
        </is>
      </c>
      <c r="D199" t="inlineStr">
        <is>
          <t>策星银河 (认缴→存量)</t>
        </is>
      </c>
      <c r="E199" t="inlineStr"/>
      <c r="F199" t="inlineStr"/>
      <c r="G199" t="inlineStr">
        <is>
          <t>279.0</t>
        </is>
      </c>
      <c r="H199" t="inlineStr">
        <is>
          <t>279.0</t>
        </is>
      </c>
      <c r="I199" t="inlineStr">
        <is>
          <t>279.0</t>
        </is>
      </c>
      <c r="J199" t="inlineStr">
        <is>
          <t>0.0</t>
        </is>
      </c>
      <c r="K199" t="inlineStr">
        <is>
          <t>PASS</t>
        </is>
      </c>
      <c r="L199" t="inlineStr">
        <is>
          <t>认购数 vs 存量持股数</t>
        </is>
      </c>
    </row>
    <row r="200">
      <c r="A200" t="inlineStr">
        <is>
          <t>920116_星图测控</t>
        </is>
      </c>
      <c r="B200" t="inlineStr"/>
      <c r="C200" t="inlineStr">
        <is>
          <t>2024-06-30</t>
        </is>
      </c>
      <c r="D200" t="inlineStr">
        <is>
          <t>策星逐日 (认缴→存量)</t>
        </is>
      </c>
      <c r="E200" t="inlineStr"/>
      <c r="F200" t="inlineStr"/>
      <c r="G200" t="inlineStr">
        <is>
          <t>171.0</t>
        </is>
      </c>
      <c r="H200" t="inlineStr">
        <is>
          <t>171.0</t>
        </is>
      </c>
      <c r="I200" t="inlineStr">
        <is>
          <t>171.0</t>
        </is>
      </c>
      <c r="J200" t="inlineStr">
        <is>
          <t>0.0</t>
        </is>
      </c>
      <c r="K200" t="inlineStr">
        <is>
          <t>PASS</t>
        </is>
      </c>
      <c r="L200" t="inlineStr">
        <is>
          <t>认购数 vs 存量持股数</t>
        </is>
      </c>
    </row>
    <row r="203">
      <c r="A203" s="4">
        <f>== 汇总统计 ===</f>
        <v/>
      </c>
    </row>
    <row r="205">
      <c r="A205" s="5" t="inlineStr">
        <is>
          <t>认缴流量: 24 条</t>
        </is>
      </c>
    </row>
    <row r="206">
      <c r="A206" s="5" t="inlineStr">
        <is>
          <t>股权存量: 22 条</t>
        </is>
      </c>
    </row>
    <row r="207">
      <c r="A207" t="inlineStr">
        <is>
          <t>生成时间: 2026-06-16T17:37:31.878777</t>
        </is>
      </c>
    </row>
  </sheetData>
  <mergeCells count="4">
    <mergeCell ref="A1:D1"/>
    <mergeCell ref="A34:L34"/>
    <mergeCell ref="A29:D29"/>
    <mergeCell ref="A203:D20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2026-06-16T09:37:31Z</dcterms:created>
  <dcterms:modified xmlns:dcterms="http://purl.org/dc/terms/" xmlns:xsi="http://www.w3.org/2001/XMLSchema-instance" xsi:type="dcterms:W3CDTF">2026-06-16T09:37:31Z</dcterms:modified>
</cp:coreProperties>
</file>