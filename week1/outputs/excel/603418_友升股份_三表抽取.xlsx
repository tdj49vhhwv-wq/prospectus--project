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  <color rgb="00FF0000"/>
      <sz val="12"/>
    </font>
    <font>
      <b val="1"/>
      <color rgb="000000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PDF p40-42</t>
        </is>
      </c>
      <c r="B2" t="inlineStr">
        <is>
          <t>1992-12-04</t>
        </is>
      </c>
      <c r="C2" t="inlineStr">
        <is>
          <t>上海市青浦县徐泾乡工业公司</t>
        </is>
      </c>
      <c r="G2" t="inlineStr">
        <is>
          <t>设立</t>
        </is>
      </c>
      <c r="I2" t="inlineStr">
        <is>
          <t>60.00%</t>
        </is>
      </c>
      <c r="J2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3">
      <c r="A3" t="inlineStr">
        <is>
          <t>PDF p40-42</t>
        </is>
      </c>
      <c r="B3" t="inlineStr">
        <is>
          <t>1992-12-04</t>
        </is>
      </c>
      <c r="C3" t="inlineStr">
        <is>
          <t>友升太平洋(美国)投资有限公司</t>
        </is>
      </c>
      <c r="G3" t="inlineStr">
        <is>
          <t>设立</t>
        </is>
      </c>
      <c r="I3" t="inlineStr">
        <is>
          <t>40.00%</t>
        </is>
      </c>
      <c r="J3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4">
      <c r="A4" t="inlineStr">
        <is>
          <t>PDF p41-42</t>
        </is>
      </c>
      <c r="B4" t="inlineStr">
        <is>
          <t>2020-09-09</t>
        </is>
      </c>
      <c r="C4" t="inlineStr">
        <is>
          <t>上海泽升贸易有限公司</t>
        </is>
      </c>
      <c r="D4" t="n">
        <v>8976</v>
      </c>
      <c r="G4" t="inlineStr">
        <is>
          <t>整体变更</t>
        </is>
      </c>
      <c r="I4" t="inlineStr">
        <is>
          <t>74.80%</t>
        </is>
      </c>
      <c r="J4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5">
      <c r="A5" t="inlineStr">
        <is>
          <t>PDF p41-42</t>
        </is>
      </c>
      <c r="B5" t="inlineStr">
        <is>
          <t>2020-09-09</t>
        </is>
      </c>
      <c r="C5" t="inlineStr">
        <is>
          <t>深圳市达晨创联私募股权投资基金合伙企业(有限合伙)</t>
        </is>
      </c>
      <c r="D5" t="n">
        <v>1800</v>
      </c>
      <c r="G5" t="inlineStr">
        <is>
          <t>整体变更</t>
        </is>
      </c>
      <c r="I5" t="inlineStr">
        <is>
          <t>15.00%</t>
        </is>
      </c>
      <c r="J5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6">
      <c r="A6" t="inlineStr">
        <is>
          <t>PDF p41-42</t>
        </is>
      </c>
      <c r="B6" t="inlineStr">
        <is>
          <t>2020-09-09</t>
        </is>
      </c>
      <c r="C6" t="inlineStr">
        <is>
          <t>共青城泽升投资管理合伙企业(有限合伙)</t>
        </is>
      </c>
      <c r="D6" t="n">
        <v>1020</v>
      </c>
      <c r="G6" t="inlineStr">
        <is>
          <t>整体变更</t>
        </is>
      </c>
      <c r="I6" t="inlineStr">
        <is>
          <t>8.50%</t>
        </is>
      </c>
      <c r="J6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7">
      <c r="A7" t="inlineStr">
        <is>
          <t>PDF p41-42</t>
        </is>
      </c>
      <c r="B7" t="inlineStr">
        <is>
          <t>2020-09-09</t>
        </is>
      </c>
      <c r="C7" t="inlineStr">
        <is>
          <t>罗世兵</t>
        </is>
      </c>
      <c r="D7" t="n">
        <v>204</v>
      </c>
      <c r="G7" t="inlineStr">
        <is>
          <t>整体变更</t>
        </is>
      </c>
      <c r="I7" t="inlineStr">
        <is>
          <t>1.70%</t>
        </is>
      </c>
      <c r="J7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8">
      <c r="A8" t="inlineStr">
        <is>
          <t>PDF p42-43</t>
        </is>
      </c>
      <c r="B8" t="inlineStr">
        <is>
          <t>2020-09-27</t>
        </is>
      </c>
      <c r="C8" t="inlineStr">
        <is>
          <t>上海金浦临港智能科技股权投资基金合伙企业(有限合伙)</t>
        </is>
      </c>
      <c r="D8" t="n">
        <v>840</v>
      </c>
      <c r="E8" t="n">
        <v>7000</v>
      </c>
      <c r="F8" t="n">
        <v>8.333299999999999</v>
      </c>
      <c r="G8" t="inlineStr">
        <is>
          <t>增资</t>
        </is>
      </c>
      <c r="I8" t="inlineStr">
        <is>
          <t>6.28%</t>
        </is>
      </c>
      <c r="J8" t="inlineStr">
        <is>
          <t>2020年9月，金浦临港基金、金浦科创基金和上海骁墨与本次增资前公司股东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</t>
        </is>
      </c>
    </row>
    <row r="9">
      <c r="A9" t="inlineStr">
        <is>
          <t>PDF p42-43</t>
        </is>
      </c>
      <c r="B9" t="inlineStr">
        <is>
          <t>2020-09-27</t>
        </is>
      </c>
      <c r="C9" t="inlineStr">
        <is>
          <t>上海金浦科技创业股权投资基金合伙企业(有限合伙)</t>
        </is>
      </c>
      <c r="D9" t="n">
        <v>360</v>
      </c>
      <c r="E9" t="n">
        <v>3000</v>
      </c>
      <c r="F9" t="n">
        <v>8.333299999999999</v>
      </c>
      <c r="G9" t="inlineStr">
        <is>
          <t>增资</t>
        </is>
      </c>
      <c r="I9" t="inlineStr">
        <is>
          <t>2.69%</t>
        </is>
      </c>
      <c r="J9" t="inlineStr">
        <is>
          <t>2020年9月，金浦临港基金、金浦科创基金和上海骁墨与本次增资前公司股东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</t>
        </is>
      </c>
    </row>
    <row r="10">
      <c r="A10" t="inlineStr">
        <is>
          <t>PDF p42-43</t>
        </is>
      </c>
      <c r="B10" t="inlineStr">
        <is>
          <t>2020-09-27</t>
        </is>
      </c>
      <c r="C10" t="inlineStr">
        <is>
          <t>上海骁墨信息技术服务中心(有限合伙)</t>
        </is>
      </c>
      <c r="D10" t="n">
        <v>180</v>
      </c>
      <c r="E10" t="n">
        <v>1500</v>
      </c>
      <c r="F10" t="n">
        <v>8.333299999999999</v>
      </c>
      <c r="G10" t="inlineStr">
        <is>
          <t>增资</t>
        </is>
      </c>
      <c r="I10" t="inlineStr">
        <is>
          <t>1.35%</t>
        </is>
      </c>
      <c r="J10" t="inlineStr">
        <is>
          <t>2020年9月，金浦临港基金、金浦科创基金和上海骁墨与本次增资前公司股东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</t>
        </is>
      </c>
    </row>
    <row r="11">
      <c r="A11" t="inlineStr">
        <is>
          <t>PDF p43-45</t>
        </is>
      </c>
      <c r="B11" t="inlineStr">
        <is>
          <t>2022-12-19</t>
        </is>
      </c>
      <c r="C11" t="inlineStr">
        <is>
          <t>深圳市杉晖创业投资合伙企业(有限合伙)</t>
        </is>
      </c>
      <c r="D11" t="n">
        <v>297.3333</v>
      </c>
      <c r="E11" t="n">
        <v>10000</v>
      </c>
      <c r="F11" t="n">
        <v>33.6323</v>
      </c>
      <c r="G11" t="inlineStr">
        <is>
          <t>增资</t>
        </is>
      </c>
      <c r="I11" t="inlineStr">
        <is>
          <t>2.05%</t>
        </is>
      </c>
      <c r="J11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2">
      <c r="A12" t="inlineStr">
        <is>
          <t>PDF p43-45</t>
        </is>
      </c>
      <c r="B12" t="inlineStr">
        <is>
          <t>2022-12-19</t>
        </is>
      </c>
      <c r="C12" t="inlineStr">
        <is>
          <t>上海联炻企业管理中心(有限合伙)</t>
        </is>
      </c>
      <c r="D12" t="n">
        <v>297.3333</v>
      </c>
      <c r="E12" t="n">
        <v>10000</v>
      </c>
      <c r="F12" t="n">
        <v>33.6323</v>
      </c>
      <c r="G12" t="inlineStr">
        <is>
          <t>增资</t>
        </is>
      </c>
      <c r="I12" t="inlineStr">
        <is>
          <t>2.05%</t>
        </is>
      </c>
      <c r="J12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3">
      <c r="A13" t="inlineStr">
        <is>
          <t>PDF p43-45</t>
        </is>
      </c>
      <c r="B13" t="inlineStr">
        <is>
          <t>2022-12-19</t>
        </is>
      </c>
      <c r="C13" t="inlineStr">
        <is>
          <t>安吉璞颉企业管理合伙企业(有限合伙)</t>
        </is>
      </c>
      <c r="D13" t="n">
        <v>148.6667</v>
      </c>
      <c r="E13" t="n">
        <v>5000</v>
      </c>
      <c r="F13" t="n">
        <v>33.6323</v>
      </c>
      <c r="G13" t="inlineStr">
        <is>
          <t>增资</t>
        </is>
      </c>
      <c r="I13" t="inlineStr">
        <is>
          <t>1.03%</t>
        </is>
      </c>
      <c r="J13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4">
      <c r="A14" t="inlineStr">
        <is>
          <t>PDF p43-45</t>
        </is>
      </c>
      <c r="B14" t="inlineStr">
        <is>
          <t>2022-12-19</t>
        </is>
      </c>
      <c r="C14" t="inlineStr">
        <is>
          <t>江西赣江新区财投晨源股权投资中心(有限合伙)</t>
        </is>
      </c>
      <c r="D14" t="n">
        <v>89.2</v>
      </c>
      <c r="E14" t="n">
        <v>3000</v>
      </c>
      <c r="F14" t="n">
        <v>33.6323</v>
      </c>
      <c r="G14" t="inlineStr">
        <is>
          <t>增资</t>
        </is>
      </c>
      <c r="I14" t="inlineStr">
        <is>
          <t>0.62%</t>
        </is>
      </c>
      <c r="J14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5">
      <c r="A15" t="inlineStr">
        <is>
          <t>PDF p43-45</t>
        </is>
      </c>
      <c r="B15" t="inlineStr">
        <is>
          <t>2022-12-19</t>
        </is>
      </c>
      <c r="C15" t="inlineStr">
        <is>
          <t>深圳市达晨创程私募股权投资基金企业(有限合伙)</t>
        </is>
      </c>
      <c r="D15" t="n">
        <v>86.5984</v>
      </c>
      <c r="E15" t="n">
        <v>2912.5</v>
      </c>
      <c r="F15" t="n">
        <v>33.6323</v>
      </c>
      <c r="G15" t="inlineStr">
        <is>
          <t>增资</t>
        </is>
      </c>
      <c r="I15" t="inlineStr">
        <is>
          <t>0.60%</t>
        </is>
      </c>
      <c r="J15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6">
      <c r="A16" t="inlineStr">
        <is>
          <t>PDF p43-45</t>
        </is>
      </c>
      <c r="B16" t="inlineStr">
        <is>
          <t>2022-12-19</t>
        </is>
      </c>
      <c r="C16" t="inlineStr">
        <is>
          <t>上海杉创智至创业投资合伙企业(有限合伙)</t>
        </is>
      </c>
      <c r="D16" t="n">
        <v>59.4667</v>
      </c>
      <c r="E16" t="n">
        <v>2000</v>
      </c>
      <c r="F16" t="n">
        <v>33.6323</v>
      </c>
      <c r="G16" t="inlineStr">
        <is>
          <t>增资</t>
        </is>
      </c>
      <c r="I16" t="inlineStr">
        <is>
          <t>0.41%</t>
        </is>
      </c>
      <c r="J16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7">
      <c r="A17" t="inlineStr">
        <is>
          <t>PDF p43-45</t>
        </is>
      </c>
      <c r="B17" t="inlineStr">
        <is>
          <t>2022-12-19</t>
        </is>
      </c>
      <c r="C17" t="inlineStr">
        <is>
          <t>杭州达晨创程股权投资基金合伙企业(有限合伙)</t>
        </is>
      </c>
      <c r="D17" t="n">
        <v>51.959</v>
      </c>
      <c r="E17" t="n">
        <v>1747.5</v>
      </c>
      <c r="F17" t="n">
        <v>33.6323</v>
      </c>
      <c r="G17" t="inlineStr">
        <is>
          <t>增资</t>
        </is>
      </c>
      <c r="I17" t="inlineStr">
        <is>
          <t>0.36%</t>
        </is>
      </c>
      <c r="J17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8">
      <c r="A18" t="inlineStr">
        <is>
          <t>PDF p43-45</t>
        </is>
      </c>
      <c r="B18" t="inlineStr">
        <is>
          <t>2022-12-19</t>
        </is>
      </c>
      <c r="C18" t="inlineStr">
        <is>
          <t>海南三亚达晨财汇私募股权投资基金合伙企业(有限合伙)</t>
        </is>
      </c>
      <c r="D18" t="n">
        <v>29.7333</v>
      </c>
      <c r="E18" t="n">
        <v>1000</v>
      </c>
      <c r="F18" t="n">
        <v>33.6323</v>
      </c>
      <c r="G18" t="inlineStr">
        <is>
          <t>增资</t>
        </is>
      </c>
      <c r="I18" t="inlineStr">
        <is>
          <t>0.21%</t>
        </is>
      </c>
      <c r="J18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9">
      <c r="A19" t="inlineStr">
        <is>
          <t>PDF p43-45</t>
        </is>
      </c>
      <c r="B19" t="inlineStr">
        <is>
          <t>2022-12-19</t>
        </is>
      </c>
      <c r="C19" t="inlineStr">
        <is>
          <t>深圳市达晨财智创业投资管理有限公司</t>
        </is>
      </c>
      <c r="D19" t="n">
        <v>29.7333</v>
      </c>
      <c r="E19" t="n">
        <v>1000</v>
      </c>
      <c r="F19" t="n">
        <v>33.6323</v>
      </c>
      <c r="G19" t="inlineStr">
        <is>
          <t>增资</t>
        </is>
      </c>
      <c r="I19" t="inlineStr">
        <is>
          <t>0.21%</t>
        </is>
      </c>
      <c r="J19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20">
      <c r="A20" t="inlineStr">
        <is>
          <t>PDF p43-45</t>
        </is>
      </c>
      <c r="B20" t="inlineStr">
        <is>
          <t>2022-12-19</t>
        </is>
      </c>
      <c r="C20" t="inlineStr">
        <is>
          <t>深圳市财智创赢私募股权投资企业(有限合伙)</t>
        </is>
      </c>
      <c r="D20" t="n">
        <v>10.1093</v>
      </c>
      <c r="E20" t="n">
        <v>340</v>
      </c>
      <c r="F20" t="n">
        <v>33.6323</v>
      </c>
      <c r="G20" t="inlineStr">
        <is>
          <t>增资</t>
        </is>
      </c>
      <c r="I20" t="inlineStr">
        <is>
          <t>0.07%</t>
        </is>
      </c>
      <c r="J20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PDF p40-42</t>
        </is>
      </c>
      <c r="B2" t="inlineStr">
        <is>
          <t>1992-12-04</t>
        </is>
      </c>
      <c r="C2" t="inlineStr">
        <is>
          <t>有限公司设立时</t>
        </is>
      </c>
      <c r="F2" t="inlineStr">
        <is>
          <t>上海市青浦县徐泾乡工业公司</t>
        </is>
      </c>
      <c r="I2" t="inlineStr">
        <is>
          <t>60.00%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3">
      <c r="A3" t="inlineStr">
        <is>
          <t>PDF p40-42</t>
        </is>
      </c>
      <c r="B3" t="inlineStr">
        <is>
          <t>1992-12-04</t>
        </is>
      </c>
      <c r="C3" t="inlineStr">
        <is>
          <t>有限公司设立时</t>
        </is>
      </c>
      <c r="F3" t="inlineStr">
        <is>
          <t>友升太平洋(美国)投资有限公司</t>
        </is>
      </c>
      <c r="I3" t="inlineStr">
        <is>
          <t>40.00%</t>
        </is>
      </c>
      <c r="J3" t="inlineStr">
        <is>
          <t>t1</t>
        </is>
      </c>
      <c r="K3" t="inlineStr">
        <is>
          <t>外部PE</t>
        </is>
      </c>
      <c r="L3" t="inlineStr">
        <is>
          <t>unknown</t>
        </is>
      </c>
      <c r="M3" t="inlineStr">
        <is>
          <t>友升有限成立于1992年12月4日，由徐泾工业公司、友升太平洋美国共同出资设立的中外合资有限责任公司，注册资本为400万美元。徐泾工业公司出资240万美元(60%)，友升太平洋美国出资160万美元(40%)。上海青浦会计师事务所分别于1993年8月20日、1996年12月31日出具验资报告，确认友升有限400万美元注册资金已全部到位。</t>
        </is>
      </c>
    </row>
    <row r="4">
      <c r="A4" t="inlineStr">
        <is>
          <t>PDF p41-42</t>
        </is>
      </c>
      <c r="B4" t="inlineStr">
        <is>
          <t>2020-09-09</t>
        </is>
      </c>
      <c r="C4" t="inlineStr">
        <is>
          <t>整体变更后</t>
        </is>
      </c>
      <c r="F4" t="inlineStr">
        <is>
          <t>上海泽升贸易有限公司</t>
        </is>
      </c>
      <c r="G4" t="n">
        <v>8976</v>
      </c>
      <c r="I4" t="inlineStr">
        <is>
          <t>74.80%</t>
        </is>
      </c>
      <c r="J4" t="inlineStr">
        <is>
          <t>t2</t>
        </is>
      </c>
      <c r="K4" t="inlineStr">
        <is>
          <t>其他</t>
        </is>
      </c>
      <c r="L4" t="inlineStr">
        <is>
          <t>unknown</t>
        </is>
      </c>
      <c r="M4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5">
      <c r="A5" t="inlineStr">
        <is>
          <t>PDF p41-42</t>
        </is>
      </c>
      <c r="B5" t="inlineStr">
        <is>
          <t>2020-09-09</t>
        </is>
      </c>
      <c r="C5" t="inlineStr">
        <is>
          <t>整体变更后</t>
        </is>
      </c>
      <c r="F5" t="inlineStr">
        <is>
          <t>深圳市达晨创联私募股权投资基金合伙企业(有限合伙)</t>
        </is>
      </c>
      <c r="G5" t="n">
        <v>1800</v>
      </c>
      <c r="I5" t="inlineStr">
        <is>
          <t>15.00%</t>
        </is>
      </c>
      <c r="J5" t="inlineStr">
        <is>
          <t>t2</t>
        </is>
      </c>
      <c r="K5" t="inlineStr">
        <is>
          <t>外部PE</t>
        </is>
      </c>
      <c r="L5" t="inlineStr">
        <is>
          <t>unknown</t>
        </is>
      </c>
      <c r="M5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6">
      <c r="A6" t="inlineStr">
        <is>
          <t>PDF p41-42</t>
        </is>
      </c>
      <c r="B6" t="inlineStr">
        <is>
          <t>2020-09-09</t>
        </is>
      </c>
      <c r="C6" t="inlineStr">
        <is>
          <t>整体变更后</t>
        </is>
      </c>
      <c r="F6" t="inlineStr">
        <is>
          <t>共青城泽升投资管理合伙企业(有限合伙)</t>
        </is>
      </c>
      <c r="G6" t="n">
        <v>1020</v>
      </c>
      <c r="I6" t="inlineStr">
        <is>
          <t>8.50%</t>
        </is>
      </c>
      <c r="J6" t="inlineStr">
        <is>
          <t>t2</t>
        </is>
      </c>
      <c r="K6" t="inlineStr">
        <is>
          <t>外部PE</t>
        </is>
      </c>
      <c r="L6" t="inlineStr">
        <is>
          <t>unknown</t>
        </is>
      </c>
      <c r="M6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7">
      <c r="A7" t="inlineStr">
        <is>
          <t>PDF p41-42</t>
        </is>
      </c>
      <c r="B7" t="inlineStr">
        <is>
          <t>2020-09-09</t>
        </is>
      </c>
      <c r="C7" t="inlineStr">
        <is>
          <t>整体变更后</t>
        </is>
      </c>
      <c r="F7" t="inlineStr">
        <is>
          <t>罗世兵</t>
        </is>
      </c>
      <c r="G7" t="n">
        <v>204</v>
      </c>
      <c r="I7" t="inlineStr">
        <is>
          <t>1.70%</t>
        </is>
      </c>
      <c r="J7" t="inlineStr">
        <is>
          <t>t2</t>
        </is>
      </c>
      <c r="K7" t="inlineStr">
        <is>
          <t>自然人</t>
        </is>
      </c>
      <c r="L7" t="inlineStr">
        <is>
          <t>unknown</t>
        </is>
      </c>
      <c r="M7" t="inlineStr">
        <is>
          <t>公司由上海友升铝业有限公司整体变更设立。根据会计师出具的《审计报告》，友升有限截至2020年5月31日的净资产为40,482.37万元。以友升有限截至2020年5月31日的净资产40,482.37万元按3.3735:1的比例折合股本12,000.00万元（每股面值1.00元）。泽升贸易8,976.00万股(74.80%)，达晨创联基金1,800.00万股(15.00%)，共青城泽升1,020.00万股(8.50%)，罗世兵204.00万股(1.70%)。</t>
        </is>
      </c>
    </row>
    <row r="8">
      <c r="A8" t="inlineStr">
        <is>
          <t>PDF p42-43</t>
        </is>
      </c>
      <c r="B8" t="inlineStr">
        <is>
          <t>2020-09-27</t>
        </is>
      </c>
      <c r="C8" t="inlineStr">
        <is>
          <t>A轮增资后</t>
        </is>
      </c>
      <c r="E8" t="n">
        <v>840</v>
      </c>
      <c r="F8" t="inlineStr">
        <is>
          <t>上海金浦临港智能科技股权投资基金合伙企业(有限合伙)</t>
        </is>
      </c>
      <c r="G8" t="n">
        <v>840</v>
      </c>
      <c r="H8" t="n">
        <v>7000</v>
      </c>
      <c r="I8" t="inlineStr">
        <is>
          <t>6.28%</t>
        </is>
      </c>
      <c r="J8" t="inlineStr">
        <is>
          <t>t3</t>
        </is>
      </c>
      <c r="K8" t="inlineStr">
        <is>
          <t>外部PE</t>
        </is>
      </c>
      <c r="L8" t="inlineStr">
        <is>
          <t>unknown</t>
        </is>
      </c>
      <c r="M8" t="inlineStr">
        <is>
          <t>2020年9月，金浦临港基金、金浦科创基金和上海骁墨与本次增资前公司股东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</t>
        </is>
      </c>
    </row>
    <row r="9">
      <c r="A9" t="inlineStr">
        <is>
          <t>PDF p42-43</t>
        </is>
      </c>
      <c r="B9" t="inlineStr">
        <is>
          <t>2020-09-27</t>
        </is>
      </c>
      <c r="C9" t="inlineStr">
        <is>
          <t>A轮增资后</t>
        </is>
      </c>
      <c r="E9" t="n">
        <v>840</v>
      </c>
      <c r="F9" t="inlineStr">
        <is>
          <t>上海金浦科技创业股权投资基金合伙企业(有限合伙)</t>
        </is>
      </c>
      <c r="G9" t="n">
        <v>360</v>
      </c>
      <c r="H9" t="n">
        <v>3000</v>
      </c>
      <c r="I9" t="inlineStr">
        <is>
          <t>2.69%</t>
        </is>
      </c>
      <c r="J9" t="inlineStr">
        <is>
          <t>t3</t>
        </is>
      </c>
      <c r="K9" t="inlineStr">
        <is>
          <t>外部PE</t>
        </is>
      </c>
      <c r="L9" t="inlineStr">
        <is>
          <t>unknown</t>
        </is>
      </c>
      <c r="M9" t="inlineStr">
        <is>
          <t>2020年9月，金浦临港基金、金浦科创基金和上海骁墨与本次增资前公司股东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</t>
        </is>
      </c>
    </row>
    <row r="10">
      <c r="A10" t="inlineStr">
        <is>
          <t>PDF p42-43</t>
        </is>
      </c>
      <c r="B10" t="inlineStr">
        <is>
          <t>2020-09-27</t>
        </is>
      </c>
      <c r="C10" t="inlineStr">
        <is>
          <t>A轮增资后</t>
        </is>
      </c>
      <c r="E10" t="n">
        <v>840</v>
      </c>
      <c r="F10" t="inlineStr">
        <is>
          <t>上海骁墨信息技术服务中心(有限合伙)</t>
        </is>
      </c>
      <c r="G10" t="n">
        <v>180</v>
      </c>
      <c r="H10" t="n">
        <v>1500</v>
      </c>
      <c r="I10" t="inlineStr">
        <is>
          <t>1.35%</t>
        </is>
      </c>
      <c r="J10" t="inlineStr">
        <is>
          <t>t3</t>
        </is>
      </c>
      <c r="K10" t="inlineStr">
        <is>
          <t>外部PE</t>
        </is>
      </c>
      <c r="L10" t="inlineStr">
        <is>
          <t>unknown</t>
        </is>
      </c>
      <c r="M10" t="inlineStr">
        <is>
          <t>2020年9月，金浦临港基金、金浦科创基金和上海骁墨与本次增资前公司股东签署《投资协议》，约定金浦临港基金、金浦科创基金和上海骁墨分别以7,000万元、3,000万元和1,500万元认购发行人新增注册资本840万元、360万元和180万元。新增股份的认购价格为8.3333元/股。2020年9月30日完成工商变更。</t>
        </is>
      </c>
    </row>
    <row r="11">
      <c r="A11" t="inlineStr">
        <is>
          <t>PDF p43-45</t>
        </is>
      </c>
      <c r="B11" t="inlineStr">
        <is>
          <t>2022-12-19</t>
        </is>
      </c>
      <c r="C11" t="inlineStr">
        <is>
          <t>B轮增资后</t>
        </is>
      </c>
      <c r="E11" t="n">
        <v>14480.1333</v>
      </c>
      <c r="F11" t="inlineStr">
        <is>
          <t>深圳市杉晖创业投资合伙企业(有限合伙)</t>
        </is>
      </c>
      <c r="G11" t="n">
        <v>297.3333</v>
      </c>
      <c r="H11" t="n">
        <v>10000</v>
      </c>
      <c r="I11" t="inlineStr">
        <is>
          <t>2.05%</t>
        </is>
      </c>
      <c r="J11" t="inlineStr">
        <is>
          <t>t4</t>
        </is>
      </c>
      <c r="K11" t="inlineStr">
        <is>
          <t>外部PE</t>
        </is>
      </c>
      <c r="L11" t="inlineStr">
        <is>
          <t>unknown</t>
        </is>
      </c>
      <c r="M11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2">
      <c r="A12" t="inlineStr">
        <is>
          <t>PDF p43-45</t>
        </is>
      </c>
      <c r="B12" t="inlineStr">
        <is>
          <t>2022-12-19</t>
        </is>
      </c>
      <c r="C12" t="inlineStr">
        <is>
          <t>B轮增资后</t>
        </is>
      </c>
      <c r="E12" t="n">
        <v>14480.1333</v>
      </c>
      <c r="F12" t="inlineStr">
        <is>
          <t>上海联炻企业管理中心(有限合伙)</t>
        </is>
      </c>
      <c r="G12" t="n">
        <v>297.3333</v>
      </c>
      <c r="H12" t="n">
        <v>10000</v>
      </c>
      <c r="I12" t="inlineStr">
        <is>
          <t>2.05%</t>
        </is>
      </c>
      <c r="J12" t="inlineStr">
        <is>
          <t>t4</t>
        </is>
      </c>
      <c r="K12" t="inlineStr">
        <is>
          <t>外部PE</t>
        </is>
      </c>
      <c r="L12" t="inlineStr">
        <is>
          <t>unknown</t>
        </is>
      </c>
      <c r="M12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3">
      <c r="A13" t="inlineStr">
        <is>
          <t>PDF p43-45</t>
        </is>
      </c>
      <c r="B13" t="inlineStr">
        <is>
          <t>2022-12-19</t>
        </is>
      </c>
      <c r="C13" t="inlineStr">
        <is>
          <t>B轮增资后</t>
        </is>
      </c>
      <c r="E13" t="n">
        <v>14480.1333</v>
      </c>
      <c r="F13" t="inlineStr">
        <is>
          <t>安吉璞颉企业管理合伙企业(有限合伙)</t>
        </is>
      </c>
      <c r="G13" t="n">
        <v>148.6667</v>
      </c>
      <c r="H13" t="n">
        <v>5000</v>
      </c>
      <c r="I13" t="inlineStr">
        <is>
          <t>1.03%</t>
        </is>
      </c>
      <c r="J13" t="inlineStr">
        <is>
          <t>t4</t>
        </is>
      </c>
      <c r="K13" t="inlineStr">
        <is>
          <t>外部PE</t>
        </is>
      </c>
      <c r="L13" t="inlineStr">
        <is>
          <t>unknown</t>
        </is>
      </c>
      <c r="M13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4">
      <c r="A14" t="inlineStr">
        <is>
          <t>PDF p43-45</t>
        </is>
      </c>
      <c r="B14" t="inlineStr">
        <is>
          <t>2022-12-19</t>
        </is>
      </c>
      <c r="C14" t="inlineStr">
        <is>
          <t>B轮增资后</t>
        </is>
      </c>
      <c r="E14" t="n">
        <v>14480.1333</v>
      </c>
      <c r="F14" t="inlineStr">
        <is>
          <t>江西赣江新区财投晨源股权投资中心(有限合伙)</t>
        </is>
      </c>
      <c r="G14" t="n">
        <v>89.2</v>
      </c>
      <c r="H14" t="n">
        <v>3000</v>
      </c>
      <c r="I14" t="inlineStr">
        <is>
          <t>0.62%</t>
        </is>
      </c>
      <c r="J14" t="inlineStr">
        <is>
          <t>t4</t>
        </is>
      </c>
      <c r="K14" t="inlineStr">
        <is>
          <t>外部PE</t>
        </is>
      </c>
      <c r="L14" t="inlineStr">
        <is>
          <t>unknown</t>
        </is>
      </c>
      <c r="M14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5">
      <c r="A15" t="inlineStr">
        <is>
          <t>PDF p43-45</t>
        </is>
      </c>
      <c r="B15" t="inlineStr">
        <is>
          <t>2022-12-19</t>
        </is>
      </c>
      <c r="C15" t="inlineStr">
        <is>
          <t>B轮增资后</t>
        </is>
      </c>
      <c r="E15" t="n">
        <v>14480.1333</v>
      </c>
      <c r="F15" t="inlineStr">
        <is>
          <t>深圳市达晨创程私募股权投资基金企业(有限合伙)</t>
        </is>
      </c>
      <c r="G15" t="n">
        <v>86.5984</v>
      </c>
      <c r="H15" t="n">
        <v>2912.5</v>
      </c>
      <c r="I15" t="inlineStr">
        <is>
          <t>0.60%</t>
        </is>
      </c>
      <c r="J15" t="inlineStr">
        <is>
          <t>t4</t>
        </is>
      </c>
      <c r="K15" t="inlineStr">
        <is>
          <t>外部PE</t>
        </is>
      </c>
      <c r="L15" t="inlineStr">
        <is>
          <t>unknown</t>
        </is>
      </c>
      <c r="M15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6">
      <c r="A16" t="inlineStr">
        <is>
          <t>PDF p43-45</t>
        </is>
      </c>
      <c r="B16" t="inlineStr">
        <is>
          <t>2022-12-19</t>
        </is>
      </c>
      <c r="C16" t="inlineStr">
        <is>
          <t>B轮增资后</t>
        </is>
      </c>
      <c r="E16" t="n">
        <v>14480.1333</v>
      </c>
      <c r="F16" t="inlineStr">
        <is>
          <t>上海杉创智至创业投资合伙企业(有限合伙)</t>
        </is>
      </c>
      <c r="G16" t="n">
        <v>59.4667</v>
      </c>
      <c r="H16" t="n">
        <v>2000</v>
      </c>
      <c r="I16" t="inlineStr">
        <is>
          <t>0.41%</t>
        </is>
      </c>
      <c r="J16" t="inlineStr">
        <is>
          <t>t4</t>
        </is>
      </c>
      <c r="K16" t="inlineStr">
        <is>
          <t>外部PE</t>
        </is>
      </c>
      <c r="L16" t="inlineStr">
        <is>
          <t>unknown</t>
        </is>
      </c>
      <c r="M16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7">
      <c r="A17" t="inlineStr">
        <is>
          <t>PDF p43-45</t>
        </is>
      </c>
      <c r="B17" t="inlineStr">
        <is>
          <t>2022-12-19</t>
        </is>
      </c>
      <c r="C17" t="inlineStr">
        <is>
          <t>B轮增资后</t>
        </is>
      </c>
      <c r="E17" t="n">
        <v>14480.1333</v>
      </c>
      <c r="F17" t="inlineStr">
        <is>
          <t>杭州达晨创程股权投资基金合伙企业(有限合伙)</t>
        </is>
      </c>
      <c r="G17" t="n">
        <v>51.959</v>
      </c>
      <c r="H17" t="n">
        <v>1747.5</v>
      </c>
      <c r="I17" t="inlineStr">
        <is>
          <t>0.36%</t>
        </is>
      </c>
      <c r="J17" t="inlineStr">
        <is>
          <t>t4</t>
        </is>
      </c>
      <c r="K17" t="inlineStr">
        <is>
          <t>外部PE</t>
        </is>
      </c>
      <c r="L17" t="inlineStr">
        <is>
          <t>unknown</t>
        </is>
      </c>
      <c r="M17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8">
      <c r="A18" t="inlineStr">
        <is>
          <t>PDF p43-45</t>
        </is>
      </c>
      <c r="B18" t="inlineStr">
        <is>
          <t>2022-12-19</t>
        </is>
      </c>
      <c r="C18" t="inlineStr">
        <is>
          <t>B轮增资后</t>
        </is>
      </c>
      <c r="E18" t="n">
        <v>14480.1333</v>
      </c>
      <c r="F18" t="inlineStr">
        <is>
          <t>海南三亚达晨财汇私募股权投资基金合伙企业(有限合伙)</t>
        </is>
      </c>
      <c r="G18" t="n">
        <v>29.7333</v>
      </c>
      <c r="H18" t="n">
        <v>1000</v>
      </c>
      <c r="I18" t="inlineStr">
        <is>
          <t>0.21%</t>
        </is>
      </c>
      <c r="J18" t="inlineStr">
        <is>
          <t>t4</t>
        </is>
      </c>
      <c r="K18" t="inlineStr">
        <is>
          <t>外部PE</t>
        </is>
      </c>
      <c r="L18" t="inlineStr">
        <is>
          <t>unknown</t>
        </is>
      </c>
      <c r="M18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19">
      <c r="A19" t="inlineStr">
        <is>
          <t>PDF p43-45</t>
        </is>
      </c>
      <c r="B19" t="inlineStr">
        <is>
          <t>2022-12-19</t>
        </is>
      </c>
      <c r="C19" t="inlineStr">
        <is>
          <t>B轮增资后</t>
        </is>
      </c>
      <c r="E19" t="n">
        <v>14480.1333</v>
      </c>
      <c r="F19" t="inlineStr">
        <is>
          <t>深圳市达晨财智创业投资管理有限公司</t>
        </is>
      </c>
      <c r="G19" t="n">
        <v>29.7333</v>
      </c>
      <c r="H19" t="n">
        <v>1000</v>
      </c>
      <c r="I19" t="inlineStr">
        <is>
          <t>0.21%</t>
        </is>
      </c>
      <c r="J19" t="inlineStr">
        <is>
          <t>t4</t>
        </is>
      </c>
      <c r="K19" t="inlineStr">
        <is>
          <t>外部PE</t>
        </is>
      </c>
      <c r="L19" t="inlineStr">
        <is>
          <t>unknown</t>
        </is>
      </c>
      <c r="M19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  <row r="20">
      <c r="A20" t="inlineStr">
        <is>
          <t>PDF p43-45</t>
        </is>
      </c>
      <c r="B20" t="inlineStr">
        <is>
          <t>2022-12-19</t>
        </is>
      </c>
      <c r="C20" t="inlineStr">
        <is>
          <t>B轮增资后</t>
        </is>
      </c>
      <c r="E20" t="n">
        <v>14480.1333</v>
      </c>
      <c r="F20" t="inlineStr">
        <is>
          <t>深圳市财智创赢私募股权投资企业(有限合伙)</t>
        </is>
      </c>
      <c r="G20" t="n">
        <v>10.1093</v>
      </c>
      <c r="H20" t="n">
        <v>340</v>
      </c>
      <c r="I20" t="inlineStr">
        <is>
          <t>0.07%</t>
        </is>
      </c>
      <c r="J20" t="inlineStr">
        <is>
          <t>t4</t>
        </is>
      </c>
      <c r="K20" t="inlineStr">
        <is>
          <t>外部PE</t>
        </is>
      </c>
      <c r="L20" t="inlineStr">
        <is>
          <t>unknown</t>
        </is>
      </c>
      <c r="M20" t="inlineStr">
        <is>
          <t>2022年12月4日，友升股份召开第一届董事会第十六次会议，同意增加注册资本至14,480.1333万元，新增股份的认购价格为33.6323元/股。杉晖创业认购297.3333万股(10,000万元)，上海联炻认购297.3333万股(10,000万元)，安吉璞颉认购148.6667万股(5,000万元)，财投晨源认购89.2万股(3,000万元)，深圳达晨创程认购86.5984万股(2,912.5万元)，杉创智至认购59.4667万股(2,000万元)，杭州达晨创程认购51.959万股(1,747.5万元)，达晨财汇认购29.7333万股(1,000万元)，达晨财智认购29.7333万股(1,000万元)，财智创赢认购10.1093万股(340万元)。合计1,100.1333万股，37,000万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29">
      <c r="A29" s="3">
        <f>== 以下为交叉校验结果 ===</f>
        <v/>
      </c>
    </row>
    <row r="34">
      <c r="A34" s="2" t="inlineStr">
        <is>
          <t>Cross-Check 结果（相邻时点股本追踪 + 认缴存量对应）</t>
        </is>
      </c>
    </row>
    <row r="36">
      <c r="A36" s="1" t="inlineStr">
        <is>
          <t>公司</t>
        </is>
      </c>
      <c r="B36" s="1" t="inlineStr">
        <is>
          <t>上一时点</t>
        </is>
      </c>
      <c r="C36" s="1" t="inlineStr">
        <is>
          <t>当前时点</t>
        </is>
      </c>
      <c r="D36" s="1" t="inlineStr">
        <is>
          <t>股东名称</t>
        </is>
      </c>
      <c r="E36" s="1" t="inlineStr">
        <is>
          <t>上一时点持股数
(万股)</t>
        </is>
      </c>
      <c r="F36" s="1" t="inlineStr">
        <is>
          <t>上一时点出资额
(万元注册资本)</t>
        </is>
      </c>
      <c r="G36" s="1" t="inlineStr">
        <is>
          <t>本次认缴/变化
(万股)</t>
        </is>
      </c>
      <c r="H36" s="1" t="inlineStr">
        <is>
          <t>预期变更后
持股数(万股)</t>
        </is>
      </c>
      <c r="I36" s="1" t="inlineStr">
        <is>
          <t>PDF披露
持股数(万股)</t>
        </is>
      </c>
      <c r="J36" s="1" t="inlineStr">
        <is>
          <t>差额(万股)</t>
        </is>
      </c>
      <c r="K36" s="1" t="inlineStr">
        <is>
          <t>状态</t>
        </is>
      </c>
      <c r="L36" s="1" t="inlineStr">
        <is>
          <t>说明</t>
        </is>
      </c>
    </row>
    <row r="37">
      <c r="A37" t="inlineStr">
        <is>
          <t>001282_三联锻造</t>
        </is>
      </c>
      <c r="B37" t="inlineStr">
        <is>
          <t>2004-06-18</t>
        </is>
      </c>
      <c r="C37" t="inlineStr">
        <is>
          <t>2014-05</t>
        </is>
      </c>
      <c r="D37" t="inlineStr">
        <is>
          <t>孙国奉</t>
        </is>
      </c>
      <c r="E37" t="inlineStr"/>
      <c r="F37" t="inlineStr">
        <is>
          <t>175.0</t>
        </is>
      </c>
      <c r="G37" t="inlineStr"/>
      <c r="H37" t="inlineStr"/>
      <c r="I37" t="inlineStr"/>
      <c r="J37" t="inlineStr"/>
      <c r="K37" t="inlineStr">
        <is>
          <t>PASS</t>
        </is>
      </c>
      <c r="L37" t="inlineStr"/>
    </row>
    <row r="38">
      <c r="A38" t="inlineStr">
        <is>
          <t>001282_三联锻造</t>
        </is>
      </c>
      <c r="B38" t="inlineStr">
        <is>
          <t>2004-06-18</t>
        </is>
      </c>
      <c r="C38" t="inlineStr">
        <is>
          <t>2014-05</t>
        </is>
      </c>
      <c r="D38" t="inlineStr">
        <is>
          <t>孙国敏</t>
        </is>
      </c>
      <c r="E38" t="inlineStr"/>
      <c r="F38" t="inlineStr">
        <is>
          <t>162.5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001282_三联锻造</t>
        </is>
      </c>
      <c r="B39" t="inlineStr">
        <is>
          <t>2004-06-18</t>
        </is>
      </c>
      <c r="C39" t="inlineStr">
        <is>
          <t>2014-05</t>
        </is>
      </c>
      <c r="D39" t="inlineStr">
        <is>
          <t>张松满</t>
        </is>
      </c>
      <c r="E39" t="inlineStr"/>
      <c r="F39" t="inlineStr">
        <is>
          <t>162.5</t>
        </is>
      </c>
      <c r="G39" t="inlineStr"/>
      <c r="H39" t="inlineStr"/>
      <c r="I39" t="inlineStr"/>
      <c r="J39" t="inlineStr"/>
      <c r="K39" t="inlineStr">
        <is>
          <t>PASS</t>
        </is>
      </c>
      <c r="L39" t="inlineStr"/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武汉力源信息技术股份有限公司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新增</t>
        </is>
      </c>
    </row>
    <row r="41">
      <c r="A41" t="inlineStr">
        <is>
          <t>301563_云汉芯城</t>
        </is>
      </c>
      <c r="B41" t="inlineStr">
        <is>
          <t>2008-05-07</t>
        </is>
      </c>
      <c r="C41" t="inlineStr">
        <is>
          <t>2014-08</t>
        </is>
      </c>
      <c r="D41" t="inlineStr">
        <is>
          <t>芜湖富海浩研创业投资基金（有限合伙）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2008-05-07</t>
        </is>
      </c>
      <c r="C42" t="inlineStr">
        <is>
          <t>2014-08</t>
        </is>
      </c>
      <c r="D42" t="inlineStr">
        <is>
          <t>深圳市云汉电子有限公司</t>
        </is>
      </c>
      <c r="E42" t="inlineStr"/>
      <c r="F42" t="inlineStr">
        <is>
          <t>25.0</t>
        </is>
      </c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2008-05-07</t>
        </is>
      </c>
      <c r="C43" t="inlineStr">
        <is>
          <t>2014-08</t>
        </is>
      </c>
      <c r="D43" t="inlineStr">
        <is>
          <t>东方富海（上海）创业投资企业（有限合伙）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2008-05-07</t>
        </is>
      </c>
      <c r="C44" t="inlineStr">
        <is>
          <t>2014-08</t>
        </is>
      </c>
      <c r="D44" t="inlineStr">
        <is>
          <t>刘云锋</t>
        </is>
      </c>
      <c r="E44" t="inlineStr"/>
      <c r="F44" t="inlineStr">
        <is>
          <t>25.0</t>
        </is>
      </c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退出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武汉力源信息技术股份有限公司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芜湖富海浩研创业投资基金（有限合伙）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东方富海（上海）创业投资企业（有限合伙）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2014-08</t>
        </is>
      </c>
      <c r="C49" t="inlineStr">
        <is>
          <t>2015-08</t>
        </is>
      </c>
      <c r="D49" t="inlineStr">
        <is>
          <t>丰利财富（北京）国际资本管理股份有限公司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2014-08</t>
        </is>
      </c>
      <c r="C50" t="inlineStr">
        <is>
          <t>2015-08</t>
        </is>
      </c>
      <c r="D50" t="inlineStr">
        <is>
          <t>昆山红土高新创业投资有限公司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2014-08</t>
        </is>
      </c>
      <c r="C51" t="inlineStr">
        <is>
          <t>2015-08</t>
        </is>
      </c>
      <c r="D51" t="inlineStr">
        <is>
          <t>富海深湾（深圳）移动创新私募创业投资基金合伙企业（有限合伙）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2014-08</t>
        </is>
      </c>
      <c r="C52" t="inlineStr">
        <is>
          <t>2015-08</t>
        </is>
      </c>
      <c r="D52" t="inlineStr">
        <is>
          <t>深圳市创新投资集团有限公司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新增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曾烨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武汉力源信息技术股份有限公司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丰利财富（北京）国际资本管理股份有限公司</t>
        </is>
      </c>
      <c r="E55" t="inlineStr"/>
      <c r="F55" t="inlineStr">
        <is>
          <t>1000.0</t>
        </is>
      </c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2015-08</t>
        </is>
      </c>
      <c r="C57" t="inlineStr">
        <is>
          <t>2015-12-03</t>
        </is>
      </c>
      <c r="D57" t="inlineStr">
        <is>
          <t>昆山红土高新创业投资有限公司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2015-08</t>
        </is>
      </c>
      <c r="C58" t="inlineStr">
        <is>
          <t>2015-12-03</t>
        </is>
      </c>
      <c r="D58" t="inlineStr">
        <is>
          <t>镇江红土创业投资有限公司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2015-08</t>
        </is>
      </c>
      <c r="C59" t="inlineStr">
        <is>
          <t>2015-12-03</t>
        </is>
      </c>
      <c r="D59" t="inlineStr">
        <is>
          <t>富海深湾（深圳）移动创新私募创业投资基金合伙企业（有限合伙）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2015-08</t>
        </is>
      </c>
      <c r="C60" t="inlineStr">
        <is>
          <t>2015-12-03</t>
        </is>
      </c>
      <c r="D60" t="inlineStr">
        <is>
          <t>深圳市创新投资集团有限公司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退出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武汉力源信息技术股份有限公司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CASREV FUND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深圳南山富海中小企业发展基金合伙企业（有限合伙）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中科贵银（贵州）创业投资中心（有限合伙）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2015-12-03</t>
        </is>
      </c>
      <c r="C66" t="inlineStr">
        <is>
          <t>2018-06-28</t>
        </is>
      </c>
      <c r="D66" t="inlineStr">
        <is>
          <t>珠海拓域投资合伙企业（有限合伙）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新增</t>
        </is>
      </c>
    </row>
    <row r="67">
      <c r="A67" t="inlineStr">
        <is>
          <t>301563_云汉芯城</t>
        </is>
      </c>
      <c r="B67" t="inlineStr">
        <is>
          <t>2015-12-03</t>
        </is>
      </c>
      <c r="C67" t="inlineStr">
        <is>
          <t>2018-06-28</t>
        </is>
      </c>
      <c r="D67" t="inlineStr">
        <is>
          <t>曾烨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2015-12-03</t>
        </is>
      </c>
      <c r="C68" t="inlineStr">
        <is>
          <t>2018-06-28</t>
        </is>
      </c>
      <c r="D68" t="inlineStr">
        <is>
          <t>夏东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新增</t>
        </is>
      </c>
    </row>
    <row r="69">
      <c r="A69" t="inlineStr">
        <is>
          <t>301563_云汉芯城</t>
        </is>
      </c>
      <c r="B69" t="inlineStr">
        <is>
          <t>2015-12-03</t>
        </is>
      </c>
      <c r="C69" t="inlineStr">
        <is>
          <t>2018-06-28</t>
        </is>
      </c>
      <c r="D69" t="inlineStr">
        <is>
          <t>刘云锋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2018-06-28</t>
        </is>
      </c>
      <c r="C73" t="inlineStr">
        <is>
          <t>2020-05-28</t>
        </is>
      </c>
      <c r="D73" t="inlineStr">
        <is>
          <t>中科贵银（贵州）创业投资中心（有限合伙）</t>
        </is>
      </c>
      <c r="E73" t="inlineStr"/>
      <c r="F73" t="inlineStr">
        <is>
          <t>1584.0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2018-06-28</t>
        </is>
      </c>
      <c r="C74" t="inlineStr">
        <is>
          <t>2020-05-28</t>
        </is>
      </c>
      <c r="D74" t="inlineStr">
        <is>
          <t>火炬电子科技股份有限公司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2018-06-28</t>
        </is>
      </c>
      <c r="C75" t="inlineStr">
        <is>
          <t>2020-05-28</t>
        </is>
      </c>
      <c r="D75" t="inlineStr">
        <is>
          <t>珠海拓域投资合伙企业（有限合伙）</t>
        </is>
      </c>
      <c r="E75" t="inlineStr"/>
      <c r="F75" t="inlineStr">
        <is>
          <t>1000.0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301563_云汉芯城</t>
        </is>
      </c>
      <c r="B76" t="inlineStr">
        <is>
          <t>2018-06-28</t>
        </is>
      </c>
      <c r="C76" t="inlineStr">
        <is>
          <t>2020-05-28</t>
        </is>
      </c>
      <c r="D76" t="inlineStr">
        <is>
          <t>夏东</t>
        </is>
      </c>
      <c r="E76" t="inlineStr"/>
      <c r="F76" t="inlineStr">
        <is>
          <t>204.0</t>
        </is>
      </c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退出</t>
        </is>
      </c>
    </row>
    <row r="77">
      <c r="A77" t="inlineStr">
        <is>
          <t>301563_云汉芯城</t>
        </is>
      </c>
      <c r="B77" t="inlineStr">
        <is>
          <t>2020-05-28</t>
        </is>
      </c>
      <c r="C77" t="inlineStr">
        <is>
          <t>2020-09-23</t>
        </is>
      </c>
      <c r="D77" t="inlineStr">
        <is>
          <t>火炬电子科技股份有限公司</t>
        </is>
      </c>
      <c r="E77" t="inlineStr"/>
      <c r="F77" t="inlineStr">
        <is>
          <t>5000.0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301563_云汉芯城</t>
        </is>
      </c>
      <c r="B78" t="inlineStr">
        <is>
          <t>2020-05-28</t>
        </is>
      </c>
      <c r="C78" t="inlineStr">
        <is>
          <t>2020-09-23</t>
        </is>
      </c>
      <c r="D78" t="inlineStr">
        <is>
          <t>厦门西堤股权投资合伙企业（有限合伙）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301563_云汉芯城</t>
        </is>
      </c>
      <c r="B79" t="inlineStr">
        <is>
          <t>2020-05-28</t>
        </is>
      </c>
      <c r="C79" t="inlineStr">
        <is>
          <t>2020-09-23</t>
        </is>
      </c>
      <c r="D79" t="inlineStr">
        <is>
          <t>中小企业发展基金（深圳有限合伙）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2012-06-12</t>
        </is>
      </c>
      <c r="C80" t="inlineStr">
        <is>
          <t>2021-04-07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>
        <is>
          <t>新增</t>
        </is>
      </c>
    </row>
    <row r="81">
      <c r="A81" t="inlineStr">
        <is>
          <t>301581_黄山谷捷</t>
        </is>
      </c>
      <c r="B81" t="inlineStr">
        <is>
          <t>2012-06-12</t>
        </is>
      </c>
      <c r="C81" t="inlineStr">
        <is>
          <t>2021-04-07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>
        <is>
          <t>新增</t>
        </is>
      </c>
    </row>
    <row r="82">
      <c r="A82" t="inlineStr">
        <is>
          <t>301581_黄山谷捷</t>
        </is>
      </c>
      <c r="B82" t="inlineStr">
        <is>
          <t>2012-06-12</t>
        </is>
      </c>
      <c r="C82" t="inlineStr">
        <is>
          <t>2021-04-07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新增</t>
        </is>
      </c>
    </row>
    <row r="83">
      <c r="A83" t="inlineStr">
        <is>
          <t>301581_黄山谷捷</t>
        </is>
      </c>
      <c r="B83" t="inlineStr">
        <is>
          <t>2012-06-12</t>
        </is>
      </c>
      <c r="C83" t="inlineStr">
        <is>
          <t>2021-04-07</t>
        </is>
      </c>
      <c r="D83" t="inlineStr">
        <is>
          <t>昆山谷捷金属制品有限公司</t>
        </is>
      </c>
      <c r="E83" t="inlineStr"/>
      <c r="F83" t="inlineStr">
        <is>
          <t>1000.0</t>
        </is>
      </c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2021-04-07</t>
        </is>
      </c>
      <c r="C84" t="inlineStr">
        <is>
          <t>2021-04-13</t>
        </is>
      </c>
      <c r="D84" t="inlineStr">
        <is>
          <t>黄山供销集团有限公司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/>
    </row>
    <row r="85">
      <c r="A85" t="inlineStr">
        <is>
          <t>301581_黄山谷捷</t>
        </is>
      </c>
      <c r="B85" t="inlineStr">
        <is>
          <t>2021-04-07</t>
        </is>
      </c>
      <c r="C85" t="inlineStr">
        <is>
          <t>2021-04-13</t>
        </is>
      </c>
      <c r="D85" t="inlineStr">
        <is>
          <t>张俊武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/>
    </row>
    <row r="86">
      <c r="A86" t="inlineStr">
        <is>
          <t>301581_黄山谷捷</t>
        </is>
      </c>
      <c r="B86" t="inlineStr">
        <is>
          <t>2021-04-07</t>
        </is>
      </c>
      <c r="C86" t="inlineStr">
        <is>
          <t>2021-04-13</t>
        </is>
      </c>
      <c r="D86" t="inlineStr">
        <is>
          <t>周斌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/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2021-04-13</t>
        </is>
      </c>
      <c r="C88" t="inlineStr">
        <is>
          <t>2021-11-11</t>
        </is>
      </c>
      <c r="D88" t="inlineStr">
        <is>
          <t>上海广弘实业有限公司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2021-04-13</t>
        </is>
      </c>
      <c r="C89" t="inlineStr">
        <is>
          <t>2021-11-11</t>
        </is>
      </c>
      <c r="D89" t="inlineStr">
        <is>
          <t>SAIC TECHNOLOGIES FUND II, LLC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2021-04-13</t>
        </is>
      </c>
      <c r="C90" t="inlineStr">
        <is>
          <t>2021-11-11</t>
        </is>
      </c>
      <c r="D90" t="inlineStr">
        <is>
          <t>张俊武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2021-04-13</t>
        </is>
      </c>
      <c r="C91" t="inlineStr">
        <is>
          <t>2021-11-11</t>
        </is>
      </c>
      <c r="D91" t="inlineStr">
        <is>
          <t>周斌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退出</t>
        </is>
      </c>
    </row>
    <row r="92">
      <c r="A92" t="inlineStr">
        <is>
          <t>301581_黄山谷捷</t>
        </is>
      </c>
      <c r="B92" t="inlineStr">
        <is>
          <t>2021-11-11</t>
        </is>
      </c>
      <c r="C92" t="inlineStr">
        <is>
          <t>2022-05-26</t>
        </is>
      </c>
      <c r="D92" t="inlineStr">
        <is>
          <t>黄山佳捷股权管理中心（有限合伙）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2021-11-11</t>
        </is>
      </c>
      <c r="C93" t="inlineStr">
        <is>
          <t>2022-05-26</t>
        </is>
      </c>
      <c r="D93" t="inlineStr">
        <is>
          <t>上海广弘实业有限公司</t>
        </is>
      </c>
      <c r="E93" t="inlineStr"/>
      <c r="F93" t="inlineStr">
        <is>
          <t>10377.0</t>
        </is>
      </c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退出</t>
        </is>
      </c>
    </row>
    <row r="94">
      <c r="A94" t="inlineStr">
        <is>
          <t>301581_黄山谷捷</t>
        </is>
      </c>
      <c r="B94" t="inlineStr">
        <is>
          <t>2021-11-11</t>
        </is>
      </c>
      <c r="C94" t="inlineStr">
        <is>
          <t>2022-05-26</t>
        </is>
      </c>
      <c r="D94" t="inlineStr">
        <is>
          <t>SAIC TECHNOLOGIES FUND II, LLC</t>
        </is>
      </c>
      <c r="E94" t="inlineStr"/>
      <c r="F94" t="inlineStr">
        <is>
          <t>1153.0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退出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301581_黄山谷捷</t>
        </is>
      </c>
      <c r="B97" t="inlineStr">
        <is>
          <t>2022-05-26</t>
        </is>
      </c>
      <c r="C97" t="inlineStr">
        <is>
          <t>2022-09-13</t>
        </is>
      </c>
      <c r="D97" t="inlineStr">
        <is>
          <t>上海广弘实业有限公司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新增</t>
        </is>
      </c>
    </row>
    <row r="98">
      <c r="A98" t="inlineStr">
        <is>
          <t>301581_黄山谷捷</t>
        </is>
      </c>
      <c r="B98" t="inlineStr">
        <is>
          <t>2022-05-26</t>
        </is>
      </c>
      <c r="C98" t="inlineStr">
        <is>
          <t>2022-09-13</t>
        </is>
      </c>
      <c r="D98" t="inlineStr">
        <is>
          <t>黄山佳捷股权管理中心（有限合伙）</t>
        </is>
      </c>
      <c r="E98" t="inlineStr"/>
      <c r="F98" t="inlineStr">
        <is>
          <t>2124.81</t>
        </is>
      </c>
      <c r="G98" t="inlineStr"/>
      <c r="H98" t="inlineStr"/>
      <c r="I98" t="inlineStr"/>
      <c r="J98" t="inlineStr"/>
      <c r="K98" t="inlineStr">
        <is>
          <t>PASS</t>
        </is>
      </c>
      <c r="L98" t="inlineStr"/>
    </row>
    <row r="99">
      <c r="A99" t="inlineStr">
        <is>
          <t>301581_黄山谷捷</t>
        </is>
      </c>
      <c r="B99" t="inlineStr">
        <is>
          <t>2022-05-26</t>
        </is>
      </c>
      <c r="C99" t="inlineStr">
        <is>
          <t>2022-09-13</t>
        </is>
      </c>
      <c r="D99" t="inlineStr">
        <is>
          <t>张俊武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新增</t>
        </is>
      </c>
    </row>
    <row r="100">
      <c r="A100" t="inlineStr">
        <is>
          <t>301581_黄山谷捷</t>
        </is>
      </c>
      <c r="B100" t="inlineStr">
        <is>
          <t>2022-05-26</t>
        </is>
      </c>
      <c r="C100" t="inlineStr">
        <is>
          <t>2022-09-13</t>
        </is>
      </c>
      <c r="D100" t="inlineStr">
        <is>
          <t>SAIC TECHNOLOGIES FUND II, LLC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新增</t>
        </is>
      </c>
    </row>
    <row r="101">
      <c r="A101" t="inlineStr">
        <is>
          <t>603418_友升股份</t>
        </is>
      </c>
      <c r="B101" t="inlineStr"/>
      <c r="C101" t="inlineStr">
        <is>
          <t>2020-09-27</t>
        </is>
      </c>
      <c r="D101" t="inlineStr">
        <is>
          <t>上海金浦临港智能科技股权投资基金合伙企业(有限合伙)</t>
        </is>
      </c>
      <c r="E101" t="inlineStr"/>
      <c r="F101" t="inlineStr"/>
      <c r="G101" t="inlineStr">
        <is>
          <t>840.0</t>
        </is>
      </c>
      <c r="H101" t="inlineStr">
        <is>
          <t>6999.972</t>
        </is>
      </c>
      <c r="I101" t="inlineStr">
        <is>
          <t>7000.0</t>
        </is>
      </c>
      <c r="J101" t="inlineStr">
        <is>
          <t>-0.028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2020-09-27</t>
        </is>
      </c>
      <c r="D102" t="inlineStr">
        <is>
          <t>上海金浦科技创业股权投资基金合伙企业(有限合伙)</t>
        </is>
      </c>
      <c r="E102" t="inlineStr"/>
      <c r="F102" t="inlineStr"/>
      <c r="G102" t="inlineStr">
        <is>
          <t>360.0</t>
        </is>
      </c>
      <c r="H102" t="inlineStr">
        <is>
          <t>2999.988</t>
        </is>
      </c>
      <c r="I102" t="inlineStr">
        <is>
          <t>3000.0</t>
        </is>
      </c>
      <c r="J102" t="inlineStr">
        <is>
          <t>-0.012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2020-09-27</t>
        </is>
      </c>
      <c r="D103" t="inlineStr">
        <is>
          <t>上海骁墨信息技术服务中心(有限合伙)</t>
        </is>
      </c>
      <c r="E103" t="inlineStr"/>
      <c r="F103" t="inlineStr"/>
      <c r="G103" t="inlineStr">
        <is>
          <t>180.0</t>
        </is>
      </c>
      <c r="H103" t="inlineStr">
        <is>
          <t>1499.994</t>
        </is>
      </c>
      <c r="I103" t="inlineStr">
        <is>
          <t>1500.0</t>
        </is>
      </c>
      <c r="J103" t="inlineStr">
        <is>
          <t>-0.006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深圳市杉晖创业投资合伙企业(有限合伙)</t>
        </is>
      </c>
      <c r="E104" t="inlineStr"/>
      <c r="F104" t="inlineStr"/>
      <c r="G104" t="inlineStr">
        <is>
          <t>297.3333</t>
        </is>
      </c>
      <c r="H104" t="inlineStr">
        <is>
          <t>10000.0027</t>
        </is>
      </c>
      <c r="I104" t="inlineStr">
        <is>
          <t>10000.0</t>
        </is>
      </c>
      <c r="J104" t="inlineStr">
        <is>
          <t>0.0027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上海联炻企业管理中心(有限合伙)</t>
        </is>
      </c>
      <c r="E105" t="inlineStr"/>
      <c r="F105" t="inlineStr"/>
      <c r="G105" t="inlineStr">
        <is>
          <t>297.3333</t>
        </is>
      </c>
      <c r="H105" t="inlineStr">
        <is>
          <t>10000.0027</t>
        </is>
      </c>
      <c r="I105" t="inlineStr">
        <is>
          <t>10000.0</t>
        </is>
      </c>
      <c r="J105" t="inlineStr">
        <is>
          <t>0.0027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安吉璞颉企业管理合伙企业(有限合伙)</t>
        </is>
      </c>
      <c r="E106" t="inlineStr"/>
      <c r="F106" t="inlineStr"/>
      <c r="G106" t="inlineStr">
        <is>
          <t>148.6667</t>
        </is>
      </c>
      <c r="H106" t="inlineStr">
        <is>
          <t>5000.0031</t>
        </is>
      </c>
      <c r="I106" t="inlineStr">
        <is>
          <t>5000.0</t>
        </is>
      </c>
      <c r="J106" t="inlineStr">
        <is>
          <t>0.0031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江西赣江新区财投晨源股权投资中心(有限合伙)</t>
        </is>
      </c>
      <c r="E107" t="inlineStr"/>
      <c r="F107" t="inlineStr"/>
      <c r="G107" t="inlineStr">
        <is>
          <t>89.2</t>
        </is>
      </c>
      <c r="H107" t="inlineStr">
        <is>
          <t>3000.0012</t>
        </is>
      </c>
      <c r="I107" t="inlineStr">
        <is>
          <t>3000.0</t>
        </is>
      </c>
      <c r="J107" t="inlineStr">
        <is>
          <t>0.0012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深圳市达晨创程私募股权投资基金企业(有限合伙)</t>
        </is>
      </c>
      <c r="E108" t="inlineStr"/>
      <c r="F108" t="inlineStr"/>
      <c r="G108" t="inlineStr">
        <is>
          <t>86.5984</t>
        </is>
      </c>
      <c r="H108" t="inlineStr">
        <is>
          <t>2912.5034</t>
        </is>
      </c>
      <c r="I108" t="inlineStr">
        <is>
          <t>2912.5</t>
        </is>
      </c>
      <c r="J108" t="inlineStr">
        <is>
          <t>0.0034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上海杉创智至创业投资合伙企业(有限合伙)</t>
        </is>
      </c>
      <c r="E109" t="inlineStr"/>
      <c r="F109" t="inlineStr"/>
      <c r="G109" t="inlineStr">
        <is>
          <t>59.4667</t>
        </is>
      </c>
      <c r="H109" t="inlineStr">
        <is>
          <t>2000.0019</t>
        </is>
      </c>
      <c r="I109" t="inlineStr">
        <is>
          <t>2000.0</t>
        </is>
      </c>
      <c r="J109" t="inlineStr">
        <is>
          <t>0.0019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/>
      <c r="C110" t="inlineStr">
        <is>
          <t>2022-12-19</t>
        </is>
      </c>
      <c r="D110" t="inlineStr">
        <is>
          <t>杭州达晨创程股权投资基金合伙企业(有限合伙)</t>
        </is>
      </c>
      <c r="E110" t="inlineStr"/>
      <c r="F110" t="inlineStr"/>
      <c r="G110" t="inlineStr">
        <is>
          <t>51.959</t>
        </is>
      </c>
      <c r="H110" t="inlineStr">
        <is>
          <t>1747.5007</t>
        </is>
      </c>
      <c r="I110" t="inlineStr">
        <is>
          <t>1747.5</t>
        </is>
      </c>
      <c r="J110" t="inlineStr">
        <is>
          <t>0.0007</t>
        </is>
      </c>
      <c r="K110" t="inlineStr">
        <is>
          <t>PASS</t>
        </is>
      </c>
      <c r="L110" t="inlineStr">
        <is>
          <t>price×shares vs amount diff=0.0%</t>
        </is>
      </c>
    </row>
    <row r="111">
      <c r="A111" t="inlineStr">
        <is>
          <t>603418_友升股份</t>
        </is>
      </c>
      <c r="B111" t="inlineStr"/>
      <c r="C111" t="inlineStr">
        <is>
          <t>2022-12-19</t>
        </is>
      </c>
      <c r="D111" t="inlineStr">
        <is>
          <t>海南三亚达晨财汇私募股权投资基金合伙企业(有限合伙)</t>
        </is>
      </c>
      <c r="E111" t="inlineStr"/>
      <c r="F111" t="inlineStr"/>
      <c r="G111" t="inlineStr">
        <is>
          <t>29.7333</t>
        </is>
      </c>
      <c r="H111" t="inlineStr">
        <is>
          <t>999.9993</t>
        </is>
      </c>
      <c r="I111" t="inlineStr">
        <is>
          <t>1000.0</t>
        </is>
      </c>
      <c r="J111" t="inlineStr">
        <is>
          <t>-0.0007</t>
        </is>
      </c>
      <c r="K111" t="inlineStr">
        <is>
          <t>PASS</t>
        </is>
      </c>
      <c r="L111" t="inlineStr">
        <is>
          <t>price×shares vs amount diff=0.0%</t>
        </is>
      </c>
    </row>
    <row r="112">
      <c r="A112" t="inlineStr">
        <is>
          <t>603418_友升股份</t>
        </is>
      </c>
      <c r="B112" t="inlineStr"/>
      <c r="C112" t="inlineStr">
        <is>
          <t>2022-12-19</t>
        </is>
      </c>
      <c r="D112" t="inlineStr">
        <is>
          <t>深圳市达晨财智创业投资管理有限公司</t>
        </is>
      </c>
      <c r="E112" t="inlineStr"/>
      <c r="F112" t="inlineStr"/>
      <c r="G112" t="inlineStr">
        <is>
          <t>29.7333</t>
        </is>
      </c>
      <c r="H112" t="inlineStr">
        <is>
          <t>999.9993</t>
        </is>
      </c>
      <c r="I112" t="inlineStr">
        <is>
          <t>1000.0</t>
        </is>
      </c>
      <c r="J112" t="inlineStr">
        <is>
          <t>-0.0007</t>
        </is>
      </c>
      <c r="K112" t="inlineStr">
        <is>
          <t>PASS</t>
        </is>
      </c>
      <c r="L112" t="inlineStr">
        <is>
          <t>price×shares vs amount diff=0.0%</t>
        </is>
      </c>
    </row>
    <row r="113">
      <c r="A113" t="inlineStr">
        <is>
          <t>603418_友升股份</t>
        </is>
      </c>
      <c r="B113" t="inlineStr"/>
      <c r="C113" t="inlineStr">
        <is>
          <t>2022-12-19</t>
        </is>
      </c>
      <c r="D113" t="inlineStr">
        <is>
          <t>深圳市财智创赢私募股权投资企业(有限合伙)</t>
        </is>
      </c>
      <c r="E113" t="inlineStr"/>
      <c r="F113" t="inlineStr"/>
      <c r="G113" t="inlineStr">
        <is>
          <t>10.1093</t>
        </is>
      </c>
      <c r="H113" t="inlineStr">
        <is>
          <t>339.999</t>
        </is>
      </c>
      <c r="I113" t="inlineStr">
        <is>
          <t>340.0</t>
        </is>
      </c>
      <c r="J113" t="inlineStr">
        <is>
          <t>-0.001</t>
        </is>
      </c>
      <c r="K113" t="inlineStr">
        <is>
          <t>PASS</t>
        </is>
      </c>
      <c r="L113" t="inlineStr">
        <is>
          <t>price×shares vs amount diff=0.0%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罗世兵</t>
        </is>
      </c>
      <c r="E114" t="inlineStr"/>
      <c r="F114" t="inlineStr"/>
      <c r="G114" t="inlineStr">
        <is>
          <t>204.0</t>
        </is>
      </c>
      <c r="H114" t="inlineStr"/>
      <c r="I114" t="inlineStr">
        <is>
          <t>204.0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深圳市达晨创联私募股权投资基金合伙企业(有限合伙)</t>
        </is>
      </c>
      <c r="E115" t="inlineStr"/>
      <c r="F115" t="inlineStr"/>
      <c r="G115" t="inlineStr">
        <is>
          <t>1800.0</t>
        </is>
      </c>
      <c r="H115" t="inlineStr"/>
      <c r="I115" t="inlineStr">
        <is>
          <t>1800.0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1992-12-04</t>
        </is>
      </c>
      <c r="C116" t="inlineStr">
        <is>
          <t>2020-09-09</t>
        </is>
      </c>
      <c r="D116" t="inlineStr">
        <is>
          <t>上海泽升贸易有限公司</t>
        </is>
      </c>
      <c r="E116" t="inlineStr"/>
      <c r="F116" t="inlineStr"/>
      <c r="G116" t="inlineStr">
        <is>
          <t>8976.0</t>
        </is>
      </c>
      <c r="H116" t="inlineStr"/>
      <c r="I116" t="inlineStr">
        <is>
          <t>8976.0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1992-12-04</t>
        </is>
      </c>
      <c r="C117" t="inlineStr">
        <is>
          <t>2020-09-09</t>
        </is>
      </c>
      <c r="D117" t="inlineStr">
        <is>
          <t>上海市青浦县徐泾乡工业公司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1992-12-04</t>
        </is>
      </c>
      <c r="C118" t="inlineStr">
        <is>
          <t>2020-09-09</t>
        </is>
      </c>
      <c r="D118" t="inlineStr">
        <is>
          <t>友升太平洋(美国)投资有限公司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1992-12-04</t>
        </is>
      </c>
      <c r="C119" t="inlineStr">
        <is>
          <t>2020-09-09</t>
        </is>
      </c>
      <c r="D119" t="inlineStr">
        <is>
          <t>共青城泽升投资管理合伙企业(有限合伙)</t>
        </is>
      </c>
      <c r="E119" t="inlineStr"/>
      <c r="F119" t="inlineStr"/>
      <c r="G119" t="inlineStr">
        <is>
          <t>1020.0</t>
        </is>
      </c>
      <c r="H119" t="inlineStr"/>
      <c r="I119" t="inlineStr">
        <is>
          <t>1020.0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罗世兵</t>
        </is>
      </c>
      <c r="E120" t="inlineStr">
        <is>
          <t>204.0</t>
        </is>
      </c>
      <c r="F120" t="inlineStr"/>
      <c r="G120" t="inlineStr">
        <is>
          <t>204.0</t>
        </is>
      </c>
      <c r="H120" t="inlineStr">
        <is>
          <t>408.0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上海金浦科技创业股权投资基金合伙企业(有限合伙)</t>
        </is>
      </c>
      <c r="E122" t="inlineStr"/>
      <c r="F122" t="inlineStr"/>
      <c r="G122" t="inlineStr">
        <is>
          <t>360.0</t>
        </is>
      </c>
      <c r="H122" t="inlineStr"/>
      <c r="I122" t="inlineStr">
        <is>
          <t>360.0</t>
        </is>
      </c>
      <c r="J122" t="inlineStr"/>
      <c r="K122" t="inlineStr">
        <is>
          <t>PASS</t>
        </is>
      </c>
      <c r="L122" t="inlineStr">
        <is>
          <t>新增</t>
        </is>
      </c>
    </row>
    <row r="123">
      <c r="A123" t="inlineStr">
        <is>
          <t>603418_友升股份</t>
        </is>
      </c>
      <c r="B123" t="inlineStr">
        <is>
          <t>2020-09-09</t>
        </is>
      </c>
      <c r="C123" t="inlineStr">
        <is>
          <t>2020-09-27</t>
        </is>
      </c>
      <c r="D123" t="inlineStr">
        <is>
          <t>上海金浦临港智能科技股权投资基金合伙企业(有限合伙)</t>
        </is>
      </c>
      <c r="E123" t="inlineStr"/>
      <c r="F123" t="inlineStr"/>
      <c r="G123" t="inlineStr">
        <is>
          <t>840.0</t>
        </is>
      </c>
      <c r="H123" t="inlineStr"/>
      <c r="I123" t="inlineStr">
        <is>
          <t>840.0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2020-09-09</t>
        </is>
      </c>
      <c r="C124" t="inlineStr">
        <is>
          <t>2020-09-27</t>
        </is>
      </c>
      <c r="D124" t="inlineStr">
        <is>
          <t>深圳市达晨创联私募股权投资基金合伙企业(有限合伙)</t>
        </is>
      </c>
      <c r="E124" t="inlineStr">
        <is>
          <t>1800.0</t>
        </is>
      </c>
      <c r="F124" t="inlineStr"/>
      <c r="G124" t="inlineStr">
        <is>
          <t>1800.0</t>
        </is>
      </c>
      <c r="H124" t="inlineStr">
        <is>
          <t>3600.0</t>
        </is>
      </c>
      <c r="I124" t="inlineStr"/>
      <c r="J124" t="inlineStr"/>
      <c r="K124" t="inlineStr">
        <is>
          <t>PASS</t>
        </is>
      </c>
      <c r="L124" t="inlineStr">
        <is>
          <t>退出</t>
        </is>
      </c>
    </row>
    <row r="125">
      <c r="A125" t="inlineStr">
        <is>
          <t>603418_友升股份</t>
        </is>
      </c>
      <c r="B125" t="inlineStr">
        <is>
          <t>2020-09-09</t>
        </is>
      </c>
      <c r="C125" t="inlineStr">
        <is>
          <t>2020-09-27</t>
        </is>
      </c>
      <c r="D125" t="inlineStr">
        <is>
          <t>上海泽升贸易有限公司</t>
        </is>
      </c>
      <c r="E125" t="inlineStr">
        <is>
          <t>8976.0</t>
        </is>
      </c>
      <c r="F125" t="inlineStr"/>
      <c r="G125" t="inlineStr">
        <is>
          <t>8976.0</t>
        </is>
      </c>
      <c r="H125" t="inlineStr">
        <is>
          <t>17952.0</t>
        </is>
      </c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603418_友升股份</t>
        </is>
      </c>
      <c r="B126" t="inlineStr">
        <is>
          <t>2020-09-09</t>
        </is>
      </c>
      <c r="C126" t="inlineStr">
        <is>
          <t>2020-09-27</t>
        </is>
      </c>
      <c r="D126" t="inlineStr">
        <is>
          <t>共青城泽升投资管理合伙企业(有限合伙)</t>
        </is>
      </c>
      <c r="E126" t="inlineStr">
        <is>
          <t>1020.0</t>
        </is>
      </c>
      <c r="F126" t="inlineStr"/>
      <c r="G126" t="inlineStr">
        <is>
          <t>1020.0</t>
        </is>
      </c>
      <c r="H126" t="inlineStr">
        <is>
          <t>2040.0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杭州达晨创程股权投资基金合伙企业(有限合伙)</t>
        </is>
      </c>
      <c r="E127" t="inlineStr"/>
      <c r="F127" t="inlineStr"/>
      <c r="G127" t="inlineStr">
        <is>
          <t>51.959</t>
        </is>
      </c>
      <c r="H127" t="inlineStr"/>
      <c r="I127" t="inlineStr">
        <is>
          <t>51.959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深圳市达晨创程私募股权投资基金企业(有限合伙)</t>
        </is>
      </c>
      <c r="E128" t="inlineStr"/>
      <c r="F128" t="inlineStr"/>
      <c r="G128" t="inlineStr">
        <is>
          <t>86.5984</t>
        </is>
      </c>
      <c r="H128" t="inlineStr"/>
      <c r="I128" t="inlineStr">
        <is>
          <t>86.5984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上海金浦科技创业股权投资基金合伙企业(有限合伙)</t>
        </is>
      </c>
      <c r="E130" t="inlineStr">
        <is>
          <t>360.0</t>
        </is>
      </c>
      <c r="F130" t="inlineStr">
        <is>
          <t>3000.0</t>
        </is>
      </c>
      <c r="G130" t="inlineStr">
        <is>
          <t>360.0</t>
        </is>
      </c>
      <c r="H130" t="inlineStr">
        <is>
          <t>720.0</t>
        </is>
      </c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上海联炻企业管理中心(有限合伙)</t>
        </is>
      </c>
      <c r="E131" t="inlineStr"/>
      <c r="F131" t="inlineStr"/>
      <c r="G131" t="inlineStr">
        <is>
          <t>297.3333</t>
        </is>
      </c>
      <c r="H131" t="inlineStr"/>
      <c r="I131" t="inlineStr">
        <is>
          <t>297.3333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深圳市杉晖创业投资合伙企业(有限合伙)</t>
        </is>
      </c>
      <c r="E132" t="inlineStr"/>
      <c r="F132" t="inlineStr"/>
      <c r="G132" t="inlineStr">
        <is>
          <t>297.3333</t>
        </is>
      </c>
      <c r="H132" t="inlineStr"/>
      <c r="I132" t="inlineStr">
        <is>
          <t>297.3333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海南三亚达晨财汇私募股权投资基金合伙企业(有限合伙)</t>
        </is>
      </c>
      <c r="E133" t="inlineStr"/>
      <c r="F133" t="inlineStr"/>
      <c r="G133" t="inlineStr">
        <is>
          <t>29.7333</t>
        </is>
      </c>
      <c r="H133" t="inlineStr"/>
      <c r="I133" t="inlineStr">
        <is>
          <t>29.7333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上海杉创智至创业投资合伙企业(有限合伙)</t>
        </is>
      </c>
      <c r="E134" t="inlineStr"/>
      <c r="F134" t="inlineStr"/>
      <c r="G134" t="inlineStr">
        <is>
          <t>59.4667</t>
        </is>
      </c>
      <c r="H134" t="inlineStr"/>
      <c r="I134" t="inlineStr">
        <is>
          <t>59.4667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深圳市财智创赢私募股权投资企业(有限合伙)</t>
        </is>
      </c>
      <c r="E135" t="inlineStr"/>
      <c r="F135" t="inlineStr"/>
      <c r="G135" t="inlineStr">
        <is>
          <t>10.1093</t>
        </is>
      </c>
      <c r="H135" t="inlineStr"/>
      <c r="I135" t="inlineStr">
        <is>
          <t>10.1093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>
        <is>
          <t>2020-09-27</t>
        </is>
      </c>
      <c r="C136" t="inlineStr">
        <is>
          <t>2022-12-19</t>
        </is>
      </c>
      <c r="D136" t="inlineStr">
        <is>
          <t>江西赣江新区财投晨源股权投资中心(有限合伙)</t>
        </is>
      </c>
      <c r="E136" t="inlineStr"/>
      <c r="F136" t="inlineStr"/>
      <c r="G136" t="inlineStr">
        <is>
          <t>89.2</t>
        </is>
      </c>
      <c r="H136" t="inlineStr"/>
      <c r="I136" t="inlineStr">
        <is>
          <t>89.2</t>
        </is>
      </c>
      <c r="J136" t="inlineStr"/>
      <c r="K136" t="inlineStr">
        <is>
          <t>PASS</t>
        </is>
      </c>
      <c r="L136" t="inlineStr">
        <is>
          <t>新增</t>
        </is>
      </c>
    </row>
    <row r="137">
      <c r="A137" t="inlineStr">
        <is>
          <t>603418_友升股份</t>
        </is>
      </c>
      <c r="B137" t="inlineStr">
        <is>
          <t>2020-09-27</t>
        </is>
      </c>
      <c r="C137" t="inlineStr">
        <is>
          <t>2022-12-19</t>
        </is>
      </c>
      <c r="D137" t="inlineStr">
        <is>
          <t>上海金浦临港智能科技股权投资基金合伙企业(有限合伙)</t>
        </is>
      </c>
      <c r="E137" t="inlineStr">
        <is>
          <t>840.0</t>
        </is>
      </c>
      <c r="F137" t="inlineStr">
        <is>
          <t>7000.0</t>
        </is>
      </c>
      <c r="G137" t="inlineStr">
        <is>
          <t>840.0</t>
        </is>
      </c>
      <c r="H137" t="inlineStr">
        <is>
          <t>1680.0</t>
        </is>
      </c>
      <c r="I137" t="inlineStr"/>
      <c r="J137" t="inlineStr"/>
      <c r="K137" t="inlineStr">
        <is>
          <t>PASS</t>
        </is>
      </c>
      <c r="L137" t="inlineStr">
        <is>
          <t>退出</t>
        </is>
      </c>
    </row>
    <row r="138">
      <c r="A138" t="inlineStr">
        <is>
          <t>603418_友升股份</t>
        </is>
      </c>
      <c r="B138" t="inlineStr">
        <is>
          <t>2020-09-27</t>
        </is>
      </c>
      <c r="C138" t="inlineStr">
        <is>
          <t>2022-12-19</t>
        </is>
      </c>
      <c r="D138" t="inlineStr">
        <is>
          <t>深圳市达晨财智创业投资管理有限公司</t>
        </is>
      </c>
      <c r="E138" t="inlineStr"/>
      <c r="F138" t="inlineStr"/>
      <c r="G138" t="inlineStr">
        <is>
          <t>29.7333</t>
        </is>
      </c>
      <c r="H138" t="inlineStr"/>
      <c r="I138" t="inlineStr">
        <is>
          <t>29.7333</t>
        </is>
      </c>
      <c r="J138" t="inlineStr"/>
      <c r="K138" t="inlineStr">
        <is>
          <t>PASS</t>
        </is>
      </c>
      <c r="L138" t="inlineStr">
        <is>
          <t>新增</t>
        </is>
      </c>
    </row>
    <row r="139">
      <c r="A139" t="inlineStr">
        <is>
          <t>603418_友升股份</t>
        </is>
      </c>
      <c r="B139" t="inlineStr">
        <is>
          <t>2020-09-27</t>
        </is>
      </c>
      <c r="C139" t="inlineStr">
        <is>
          <t>2022-12-19</t>
        </is>
      </c>
      <c r="D139" t="inlineStr">
        <is>
          <t>上海骁墨信息技术服务中心(有限合伙)</t>
        </is>
      </c>
      <c r="E139" t="inlineStr">
        <is>
          <t>180.0</t>
        </is>
      </c>
      <c r="F139" t="inlineStr">
        <is>
          <t>1500.0</t>
        </is>
      </c>
      <c r="G139" t="inlineStr">
        <is>
          <t>180.0</t>
        </is>
      </c>
      <c r="H139" t="inlineStr">
        <is>
          <t>360.0</t>
        </is>
      </c>
      <c r="I139" t="inlineStr"/>
      <c r="J139" t="inlineStr"/>
      <c r="K139" t="inlineStr">
        <is>
          <t>PASS</t>
        </is>
      </c>
      <c r="L139" t="inlineStr">
        <is>
          <t>退出</t>
        </is>
      </c>
    </row>
    <row r="140">
      <c r="A140" t="inlineStr">
        <is>
          <t>603418_友升股份</t>
        </is>
      </c>
      <c r="B140" t="inlineStr">
        <is>
          <t>2022-12-19</t>
        </is>
      </c>
      <c r="C140" t="inlineStr"/>
      <c r="D140" t="inlineStr">
        <is>
          <t>[出资额变化合计]</t>
        </is>
      </c>
      <c r="E140" t="inlineStr">
        <is>
          <t>840.0</t>
        </is>
      </c>
      <c r="F140" t="inlineStr"/>
      <c r="G140" t="inlineStr">
        <is>
          <t>1100.1333</t>
        </is>
      </c>
      <c r="H140" t="inlineStr">
        <is>
          <t>1940.1333</t>
        </is>
      </c>
      <c r="I140" t="inlineStr">
        <is>
          <t>14480.1333</t>
        </is>
      </c>
      <c r="J140" t="inlineStr">
        <is>
          <t>-12540.0</t>
        </is>
      </c>
      <c r="K140" t="inlineStr">
        <is>
          <t>待复核</t>
        </is>
      </c>
      <c r="L140" t="inlineStr">
        <is>
          <t>认购合计1100.1万股 vs 出资额变化13640.1万元</t>
        </is>
      </c>
    </row>
    <row r="141">
      <c r="A141" t="inlineStr">
        <is>
          <t>603418_友升股份</t>
        </is>
      </c>
      <c r="B141" t="inlineStr"/>
      <c r="C141" t="inlineStr">
        <is>
          <t>2020-09-09</t>
        </is>
      </c>
      <c r="D141" t="inlineStr">
        <is>
          <t>上海泽升贸易有限公司 (认缴→存量)</t>
        </is>
      </c>
      <c r="E141" t="inlineStr"/>
      <c r="F141" t="inlineStr"/>
      <c r="G141" t="inlineStr">
        <is>
          <t>8976.0</t>
        </is>
      </c>
      <c r="H141" t="inlineStr">
        <is>
          <t>8976.0</t>
        </is>
      </c>
      <c r="I141" t="inlineStr">
        <is>
          <t>8976.0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2020-09-09</t>
        </is>
      </c>
      <c r="D142" t="inlineStr">
        <is>
          <t>深圳市达晨创联私募股权投资基金合伙企业(有限合伙) (认缴→存量)</t>
        </is>
      </c>
      <c r="E142" t="inlineStr"/>
      <c r="F142" t="inlineStr"/>
      <c r="G142" t="inlineStr">
        <is>
          <t>1800.0</t>
        </is>
      </c>
      <c r="H142" t="inlineStr">
        <is>
          <t>1800.0</t>
        </is>
      </c>
      <c r="I142" t="inlineStr">
        <is>
          <t>1800.0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2020-09-09</t>
        </is>
      </c>
      <c r="D143" t="inlineStr">
        <is>
          <t>共青城泽升投资管理合伙企业(有限合伙) (认缴→存量)</t>
        </is>
      </c>
      <c r="E143" t="inlineStr"/>
      <c r="F143" t="inlineStr"/>
      <c r="G143" t="inlineStr">
        <is>
          <t>1020.0</t>
        </is>
      </c>
      <c r="H143" t="inlineStr">
        <is>
          <t>1020.0</t>
        </is>
      </c>
      <c r="I143" t="inlineStr">
        <is>
          <t>1020.0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2020-09-09</t>
        </is>
      </c>
      <c r="D144" t="inlineStr">
        <is>
          <t>罗世兵 (认缴→存量)</t>
        </is>
      </c>
      <c r="E144" t="inlineStr"/>
      <c r="F144" t="inlineStr"/>
      <c r="G144" t="inlineStr">
        <is>
          <t>204.0</t>
        </is>
      </c>
      <c r="H144" t="inlineStr">
        <is>
          <t>204.0</t>
        </is>
      </c>
      <c r="I144" t="inlineStr">
        <is>
          <t>204.0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2020-09-27</t>
        </is>
      </c>
      <c r="D145" t="inlineStr">
        <is>
          <t>上海金浦临港智能科技股权投资基金合伙企业(有限合伙) (认缴→存量)</t>
        </is>
      </c>
      <c r="E145" t="inlineStr"/>
      <c r="F145" t="inlineStr"/>
      <c r="G145" t="inlineStr">
        <is>
          <t>840.0</t>
        </is>
      </c>
      <c r="H145" t="inlineStr">
        <is>
          <t>840.0</t>
        </is>
      </c>
      <c r="I145" t="inlineStr">
        <is>
          <t>840.0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2020-09-27</t>
        </is>
      </c>
      <c r="D146" t="inlineStr">
        <is>
          <t>上海金浦科技创业股权投资基金合伙企业(有限合伙) (认缴→存量)</t>
        </is>
      </c>
      <c r="E146" t="inlineStr"/>
      <c r="F146" t="inlineStr"/>
      <c r="G146" t="inlineStr">
        <is>
          <t>360.0</t>
        </is>
      </c>
      <c r="H146" t="inlineStr">
        <is>
          <t>360.0</t>
        </is>
      </c>
      <c r="I146" t="inlineStr">
        <is>
          <t>360.0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2020-09-27</t>
        </is>
      </c>
      <c r="D147" t="inlineStr">
        <is>
          <t>上海骁墨信息技术服务中心(有限合伙) (认缴→存量)</t>
        </is>
      </c>
      <c r="E147" t="inlineStr"/>
      <c r="F147" t="inlineStr"/>
      <c r="G147" t="inlineStr">
        <is>
          <t>180.0</t>
        </is>
      </c>
      <c r="H147" t="inlineStr">
        <is>
          <t>180.0</t>
        </is>
      </c>
      <c r="I147" t="inlineStr">
        <is>
          <t>180.0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深圳市杉晖创业投资合伙企业(有限合伙) (认缴→存量)</t>
        </is>
      </c>
      <c r="E148" t="inlineStr"/>
      <c r="F148" t="inlineStr"/>
      <c r="G148" t="inlineStr">
        <is>
          <t>297.3333</t>
        </is>
      </c>
      <c r="H148" t="inlineStr">
        <is>
          <t>297.3333</t>
        </is>
      </c>
      <c r="I148" t="inlineStr">
        <is>
          <t>297.3333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上海联炻企业管理中心(有限合伙) (认缴→存量)</t>
        </is>
      </c>
      <c r="E149" t="inlineStr"/>
      <c r="F149" t="inlineStr"/>
      <c r="G149" t="inlineStr">
        <is>
          <t>297.3333</t>
        </is>
      </c>
      <c r="H149" t="inlineStr">
        <is>
          <t>297.3333</t>
        </is>
      </c>
      <c r="I149" t="inlineStr">
        <is>
          <t>297.3333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安吉璞颉企业管理合伙企业(有限合伙) (认缴→存量)</t>
        </is>
      </c>
      <c r="E150" t="inlineStr"/>
      <c r="F150" t="inlineStr"/>
      <c r="G150" t="inlineStr">
        <is>
          <t>148.6667</t>
        </is>
      </c>
      <c r="H150" t="inlineStr">
        <is>
          <t>148.6667</t>
        </is>
      </c>
      <c r="I150" t="inlineStr">
        <is>
          <t>148.6667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江西赣江新区财投晨源股权投资中心(有限合伙) (认缴→存量)</t>
        </is>
      </c>
      <c r="E151" t="inlineStr"/>
      <c r="F151" t="inlineStr"/>
      <c r="G151" t="inlineStr">
        <is>
          <t>89.2</t>
        </is>
      </c>
      <c r="H151" t="inlineStr">
        <is>
          <t>89.2</t>
        </is>
      </c>
      <c r="I151" t="inlineStr">
        <is>
          <t>89.2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深圳市达晨创程私募股权投资基金企业(有限合伙) (认缴→存量)</t>
        </is>
      </c>
      <c r="E152" t="inlineStr"/>
      <c r="F152" t="inlineStr"/>
      <c r="G152" t="inlineStr">
        <is>
          <t>86.5984</t>
        </is>
      </c>
      <c r="H152" t="inlineStr">
        <is>
          <t>86.5984</t>
        </is>
      </c>
      <c r="I152" t="inlineStr">
        <is>
          <t>86.5984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603418_友升股份</t>
        </is>
      </c>
      <c r="B153" t="inlineStr"/>
      <c r="C153" t="inlineStr">
        <is>
          <t>2022-12-19</t>
        </is>
      </c>
      <c r="D153" t="inlineStr">
        <is>
          <t>上海杉创智至创业投资合伙企业(有限合伙) (认缴→存量)</t>
        </is>
      </c>
      <c r="E153" t="inlineStr"/>
      <c r="F153" t="inlineStr"/>
      <c r="G153" t="inlineStr">
        <is>
          <t>59.4667</t>
        </is>
      </c>
      <c r="H153" t="inlineStr">
        <is>
          <t>59.4667</t>
        </is>
      </c>
      <c r="I153" t="inlineStr">
        <is>
          <t>59.4667</t>
        </is>
      </c>
      <c r="J153" t="inlineStr">
        <is>
          <t>0.0</t>
        </is>
      </c>
      <c r="K153" t="inlineStr">
        <is>
          <t>PASS</t>
        </is>
      </c>
      <c r="L153" t="inlineStr">
        <is>
          <t>认购数 vs 存量持股数</t>
        </is>
      </c>
    </row>
    <row r="154">
      <c r="A154" t="inlineStr">
        <is>
          <t>603418_友升股份</t>
        </is>
      </c>
      <c r="B154" t="inlineStr"/>
      <c r="C154" t="inlineStr">
        <is>
          <t>2022-12-19</t>
        </is>
      </c>
      <c r="D154" t="inlineStr">
        <is>
          <t>杭州达晨创程股权投资基金合伙企业(有限合伙) (认缴→存量)</t>
        </is>
      </c>
      <c r="E154" t="inlineStr"/>
      <c r="F154" t="inlineStr"/>
      <c r="G154" t="inlineStr">
        <is>
          <t>51.959</t>
        </is>
      </c>
      <c r="H154" t="inlineStr">
        <is>
          <t>51.959</t>
        </is>
      </c>
      <c r="I154" t="inlineStr">
        <is>
          <t>51.959</t>
        </is>
      </c>
      <c r="J154" t="inlineStr">
        <is>
          <t>0.0</t>
        </is>
      </c>
      <c r="K154" t="inlineStr">
        <is>
          <t>PASS</t>
        </is>
      </c>
      <c r="L154" t="inlineStr">
        <is>
          <t>认购数 vs 存量持股数</t>
        </is>
      </c>
    </row>
    <row r="155">
      <c r="A155" t="inlineStr">
        <is>
          <t>603418_友升股份</t>
        </is>
      </c>
      <c r="B155" t="inlineStr"/>
      <c r="C155" t="inlineStr">
        <is>
          <t>2022-12-19</t>
        </is>
      </c>
      <c r="D155" t="inlineStr">
        <is>
          <t>海南三亚达晨财汇私募股权投资基金合伙企业(有限合伙) (认缴→存量)</t>
        </is>
      </c>
      <c r="E155" t="inlineStr"/>
      <c r="F155" t="inlineStr"/>
      <c r="G155" t="inlineStr">
        <is>
          <t>29.7333</t>
        </is>
      </c>
      <c r="H155" t="inlineStr">
        <is>
          <t>29.7333</t>
        </is>
      </c>
      <c r="I155" t="inlineStr">
        <is>
          <t>29.7333</t>
        </is>
      </c>
      <c r="J155" t="inlineStr">
        <is>
          <t>0.0</t>
        </is>
      </c>
      <c r="K155" t="inlineStr">
        <is>
          <t>PASS</t>
        </is>
      </c>
      <c r="L155" t="inlineStr">
        <is>
          <t>认购数 vs 存量持股数</t>
        </is>
      </c>
    </row>
    <row r="156">
      <c r="A156" t="inlineStr">
        <is>
          <t>603418_友升股份</t>
        </is>
      </c>
      <c r="B156" t="inlineStr"/>
      <c r="C156" t="inlineStr">
        <is>
          <t>2022-12-19</t>
        </is>
      </c>
      <c r="D156" t="inlineStr">
        <is>
          <t>深圳市达晨财智创业投资管理有限公司 (认缴→存量)</t>
        </is>
      </c>
      <c r="E156" t="inlineStr"/>
      <c r="F156" t="inlineStr"/>
      <c r="G156" t="inlineStr">
        <is>
          <t>29.7333</t>
        </is>
      </c>
      <c r="H156" t="inlineStr">
        <is>
          <t>29.7333</t>
        </is>
      </c>
      <c r="I156" t="inlineStr">
        <is>
          <t>29.7333</t>
        </is>
      </c>
      <c r="J156" t="inlineStr">
        <is>
          <t>0.0</t>
        </is>
      </c>
      <c r="K156" t="inlineStr">
        <is>
          <t>PASS</t>
        </is>
      </c>
      <c r="L156" t="inlineStr">
        <is>
          <t>认购数 vs 存量持股数</t>
        </is>
      </c>
    </row>
    <row r="157">
      <c r="A157" t="inlineStr">
        <is>
          <t>603418_友升股份</t>
        </is>
      </c>
      <c r="B157" t="inlineStr"/>
      <c r="C157" t="inlineStr">
        <is>
          <t>2022-12-19</t>
        </is>
      </c>
      <c r="D157" t="inlineStr">
        <is>
          <t>深圳市财智创赢私募股权投资企业(有限合伙) (认缴→存量)</t>
        </is>
      </c>
      <c r="E157" t="inlineStr"/>
      <c r="F157" t="inlineStr"/>
      <c r="G157" t="inlineStr">
        <is>
          <t>10.1093</t>
        </is>
      </c>
      <c r="H157" t="inlineStr">
        <is>
          <t>10.1093</t>
        </is>
      </c>
      <c r="I157" t="inlineStr">
        <is>
          <t>10.1093</t>
        </is>
      </c>
      <c r="J157" t="inlineStr">
        <is>
          <t>0.0</t>
        </is>
      </c>
      <c r="K157" t="inlineStr">
        <is>
          <t>PASS</t>
        </is>
      </c>
      <c r="L157" t="inlineStr">
        <is>
          <t>认购数 vs 存量持股数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黄学英/刘鸿雁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陆民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/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Cheer Rise Consultants Limited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复星惟盈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688758_赛分科技</t>
        </is>
      </c>
      <c r="B165" t="inlineStr">
        <is>
          <t>2011-10</t>
        </is>
      </c>
      <c r="C165" t="inlineStr">
        <is>
          <t>2021-09-16</t>
        </is>
      </c>
      <c r="D165" t="inlineStr">
        <is>
          <t>周金清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新增</t>
        </is>
      </c>
    </row>
    <row r="166">
      <c r="A166" t="inlineStr">
        <is>
          <t>688758_赛分科技</t>
        </is>
      </c>
      <c r="B166" t="inlineStr">
        <is>
          <t>2011-10</t>
        </is>
      </c>
      <c r="C166" t="inlineStr">
        <is>
          <t>2021-09-16</t>
        </is>
      </c>
      <c r="D166" t="inlineStr">
        <is>
          <t>苏州贤达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新增</t>
        </is>
      </c>
    </row>
    <row r="167">
      <c r="A167" t="inlineStr">
        <is>
          <t>688758_赛分科技</t>
        </is>
      </c>
      <c r="B167" t="inlineStr">
        <is>
          <t>2011-10</t>
        </is>
      </c>
      <c r="C167" t="inlineStr">
        <is>
          <t>2021-09-16</t>
        </is>
      </c>
      <c r="D167" t="inlineStr">
        <is>
          <t>史建伟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688758_赛分科技</t>
        </is>
      </c>
      <c r="B168" t="inlineStr">
        <is>
          <t>2011-10</t>
        </is>
      </c>
      <c r="C168" t="inlineStr">
        <is>
          <t>2021-09-16</t>
        </is>
      </c>
      <c r="D168" t="inlineStr">
        <is>
          <t>国寿疌泉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新增</t>
        </is>
      </c>
    </row>
    <row r="169">
      <c r="A169" t="inlineStr">
        <is>
          <t>688758_赛分科技</t>
        </is>
      </c>
      <c r="B169" t="inlineStr">
        <is>
          <t>2011-10</t>
        </is>
      </c>
      <c r="C169" t="inlineStr">
        <is>
          <t>2021-09-16</t>
        </is>
      </c>
      <c r="D169" t="inlineStr">
        <is>
          <t>华泰大健康一号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2015-07-09</t>
        </is>
      </c>
      <c r="C170" t="inlineStr">
        <is>
          <t>2020-02-26</t>
        </is>
      </c>
      <c r="D170" t="inlineStr">
        <is>
          <t>香港迅雷有限公司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新增</t>
        </is>
      </c>
    </row>
    <row r="171">
      <c r="A171" t="inlineStr">
        <is>
          <t>688775_影石创新</t>
        </is>
      </c>
      <c r="B171" t="inlineStr">
        <is>
          <t>2015-07-09</t>
        </is>
      </c>
      <c r="C171" t="inlineStr">
        <is>
          <t>2020-02-26</t>
        </is>
      </c>
      <c r="D171" t="inlineStr">
        <is>
          <t>北京岚锋创视网络科技有限公司</t>
        </is>
      </c>
      <c r="E171" t="inlineStr"/>
      <c r="F171" t="inlineStr">
        <is>
          <t>1000.0</t>
        </is>
      </c>
      <c r="G171" t="inlineStr"/>
      <c r="H171" t="inlineStr"/>
      <c r="I171" t="inlineStr"/>
      <c r="J171" t="inlineStr"/>
      <c r="K171" t="inlineStr">
        <is>
          <t>PASS</t>
        </is>
      </c>
      <c r="L171" t="inlineStr"/>
    </row>
    <row r="172">
      <c r="A172" t="inlineStr">
        <is>
          <t>688775_影石创新</t>
        </is>
      </c>
      <c r="B172" t="inlineStr">
        <is>
          <t>2015-07-09</t>
        </is>
      </c>
      <c r="C172" t="inlineStr">
        <is>
          <t>2020-02-26</t>
        </is>
      </c>
      <c r="D172" t="inlineStr">
        <is>
          <t>QM101 Limited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新增</t>
        </is>
      </c>
    </row>
    <row r="173">
      <c r="A173" t="inlineStr">
        <is>
          <t>688775_影石创新</t>
        </is>
      </c>
      <c r="B173" t="inlineStr">
        <is>
          <t>2015-07-09</t>
        </is>
      </c>
      <c r="C173" t="inlineStr">
        <is>
          <t>2020-02-26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新增</t>
        </is>
      </c>
    </row>
    <row r="174">
      <c r="A174" t="inlineStr">
        <is>
          <t>688775_影石创新</t>
        </is>
      </c>
      <c r="B174" t="inlineStr">
        <is>
          <t>2020-02-26</t>
        </is>
      </c>
      <c r="C174" t="inlineStr">
        <is>
          <t>2023-03-24</t>
        </is>
      </c>
      <c r="D174" t="inlineStr">
        <is>
          <t>汇智同裕（深圳）投资合伙企业（有限合伙）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2020-02-26</t>
        </is>
      </c>
      <c r="C175" t="inlineStr">
        <is>
          <t>2023-03-24</t>
        </is>
      </c>
      <c r="D175" t="inlineStr">
        <is>
          <t>香港迅雷有限公司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退出</t>
        </is>
      </c>
    </row>
    <row r="176">
      <c r="A176" t="inlineStr">
        <is>
          <t>688775_影石创新</t>
        </is>
      </c>
      <c r="B176" t="inlineStr">
        <is>
          <t>2020-02-26</t>
        </is>
      </c>
      <c r="C176" t="inlineStr">
        <is>
          <t>2023-03-24</t>
        </is>
      </c>
      <c r="D176" t="inlineStr">
        <is>
          <t>北京岚锋创视网络科技有限公司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退出</t>
        </is>
      </c>
    </row>
    <row r="177">
      <c r="A177" t="inlineStr">
        <is>
          <t>688775_影石创新</t>
        </is>
      </c>
      <c r="B177" t="inlineStr">
        <is>
          <t>2020-02-26</t>
        </is>
      </c>
      <c r="C177" t="inlineStr">
        <is>
          <t>2023-03-24</t>
        </is>
      </c>
      <c r="D177" t="inlineStr">
        <is>
          <t>QM101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退出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EARN ACE LIMITED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920100_三协电机</t>
        </is>
      </c>
      <c r="B179" t="inlineStr"/>
      <c r="C179" t="inlineStr">
        <is>
          <t>2023-09-06</t>
        </is>
      </c>
      <c r="D179" t="inlineStr">
        <is>
          <t>盛祎、盛松、薛小丽、倪进宽、余方成、吴春扣、陆宇君、戈翔俊、陈都亮、圣利、董雪强、文涛、付荷庆、陈韵、盛月瑶</t>
        </is>
      </c>
      <c r="E179" t="inlineStr"/>
      <c r="F179" t="inlineStr"/>
      <c r="G179" t="inlineStr">
        <is>
          <t>321.5</t>
        </is>
      </c>
      <c r="H179" t="inlineStr">
        <is>
          <t>1739.315</t>
        </is>
      </c>
      <c r="I179" t="inlineStr">
        <is>
          <t>1723.09</t>
        </is>
      </c>
      <c r="J179" t="inlineStr">
        <is>
          <t>16.225</t>
        </is>
      </c>
      <c r="K179" t="inlineStr">
        <is>
          <t>待复核</t>
        </is>
      </c>
      <c r="L179" t="inlineStr">
        <is>
          <t>price×shares vs amount diff=0.9%</t>
        </is>
      </c>
    </row>
    <row r="180">
      <c r="A180" t="inlineStr">
        <is>
          <t>920116_星图测控</t>
        </is>
      </c>
      <c r="B180" t="inlineStr">
        <is>
          <t>2016-12-14</t>
        </is>
      </c>
      <c r="C180" t="inlineStr">
        <is>
          <t>2017-10-25</t>
        </is>
      </c>
      <c r="D180" t="inlineStr">
        <is>
          <t>吴功友(王金林代持)</t>
        </is>
      </c>
      <c r="E180" t="inlineStr"/>
      <c r="F180" t="inlineStr">
        <is>
          <t>400.0</t>
        </is>
      </c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920116_星图测控</t>
        </is>
      </c>
      <c r="B181" t="inlineStr">
        <is>
          <t>2016-12-14</t>
        </is>
      </c>
      <c r="C181" t="inlineStr">
        <is>
          <t>2017-10-25</t>
        </is>
      </c>
      <c r="D181" t="inlineStr">
        <is>
          <t>四方股份</t>
        </is>
      </c>
      <c r="E181" t="inlineStr"/>
      <c r="F181" t="inlineStr">
        <is>
          <t>1200.0</t>
        </is>
      </c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920116_星图测控</t>
        </is>
      </c>
      <c r="B182" t="inlineStr">
        <is>
          <t>2016-12-14</t>
        </is>
      </c>
      <c r="C182" t="inlineStr">
        <is>
          <t>2017-10-25</t>
        </is>
      </c>
      <c r="D182" t="inlineStr">
        <is>
          <t>牛威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新增</t>
        </is>
      </c>
    </row>
    <row r="183">
      <c r="A183" t="inlineStr">
        <is>
          <t>920116_星图测控</t>
        </is>
      </c>
      <c r="B183" t="inlineStr">
        <is>
          <t>2016-12-14</t>
        </is>
      </c>
      <c r="C183" t="inlineStr">
        <is>
          <t>2017-10-25</t>
        </is>
      </c>
      <c r="D183" t="inlineStr">
        <is>
          <t>牛威(罗永红代持)</t>
        </is>
      </c>
      <c r="E183" t="inlineStr"/>
      <c r="F183" t="inlineStr">
        <is>
          <t>400.0</t>
        </is>
      </c>
      <c r="G183" t="inlineStr"/>
      <c r="H183" t="inlineStr"/>
      <c r="I183" t="inlineStr"/>
      <c r="J183" t="inlineStr"/>
      <c r="K183" t="inlineStr">
        <is>
          <t>PASS</t>
        </is>
      </c>
      <c r="L183" t="inlineStr">
        <is>
          <t>退出</t>
        </is>
      </c>
    </row>
    <row r="184">
      <c r="A184" t="inlineStr">
        <is>
          <t>920116_星图测控</t>
        </is>
      </c>
      <c r="B184" t="inlineStr">
        <is>
          <t>2016-12-14</t>
        </is>
      </c>
      <c r="C184" t="inlineStr">
        <is>
          <t>2017-10-25</t>
        </is>
      </c>
      <c r="D184" t="inlineStr">
        <is>
          <t>吴功友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新增</t>
        </is>
      </c>
    </row>
    <row r="185">
      <c r="A185" t="inlineStr">
        <is>
          <t>920116_星图测控</t>
        </is>
      </c>
      <c r="B185" t="inlineStr">
        <is>
          <t>2017-10-25</t>
        </is>
      </c>
      <c r="C185" t="inlineStr">
        <is>
          <t>2024-06-30</t>
        </is>
      </c>
      <c r="D185" t="inlineStr">
        <is>
          <t>牛威</t>
        </is>
      </c>
      <c r="E185" t="inlineStr"/>
      <c r="F185" t="inlineStr">
        <is>
          <t>0.0</t>
        </is>
      </c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920116_星图测控</t>
        </is>
      </c>
      <c r="B186" t="inlineStr">
        <is>
          <t>2017-10-25</t>
        </is>
      </c>
      <c r="C186" t="inlineStr">
        <is>
          <t>2024-06-30</t>
        </is>
      </c>
      <c r="D186" t="inlineStr">
        <is>
          <t>幸福二期</t>
        </is>
      </c>
      <c r="E186" t="inlineStr"/>
      <c r="F186" t="inlineStr"/>
      <c r="G186" t="inlineStr">
        <is>
          <t>300.0</t>
        </is>
      </c>
      <c r="H186" t="inlineStr"/>
      <c r="I186" t="inlineStr">
        <is>
          <t>300.0</t>
        </is>
      </c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2017-10-25</t>
        </is>
      </c>
      <c r="C187" t="inlineStr">
        <is>
          <t>2024-06-30</t>
        </is>
      </c>
      <c r="D187" t="inlineStr">
        <is>
          <t>中科星图股份有限公司</t>
        </is>
      </c>
      <c r="E187" t="inlineStr"/>
      <c r="F187" t="inlineStr"/>
      <c r="G187" t="inlineStr">
        <is>
          <t>3825.0</t>
        </is>
      </c>
      <c r="H187" t="inlineStr"/>
      <c r="I187" t="inlineStr">
        <is>
          <t>3825.0</t>
        </is>
      </c>
      <c r="J187" t="inlineStr"/>
      <c r="K187" t="inlineStr">
        <is>
          <t>PASS</t>
        </is>
      </c>
      <c r="L187" t="inlineStr">
        <is>
          <t>新增</t>
        </is>
      </c>
    </row>
    <row r="188">
      <c r="A188" t="inlineStr">
        <is>
          <t>920116_星图测控</t>
        </is>
      </c>
      <c r="B188" t="inlineStr">
        <is>
          <t>2017-10-25</t>
        </is>
      </c>
      <c r="C188" t="inlineStr">
        <is>
          <t>2024-06-30</t>
        </is>
      </c>
      <c r="D188" t="inlineStr">
        <is>
          <t>策星九天</t>
        </is>
      </c>
      <c r="E188" t="inlineStr"/>
      <c r="F188" t="inlineStr"/>
      <c r="G188" t="inlineStr">
        <is>
          <t>2345.0781</t>
        </is>
      </c>
      <c r="H188" t="inlineStr"/>
      <c r="I188" t="inlineStr">
        <is>
          <t>2345.0781</t>
        </is>
      </c>
      <c r="J188" t="inlineStr"/>
      <c r="K188" t="inlineStr">
        <is>
          <t>PASS</t>
        </is>
      </c>
      <c r="L188" t="inlineStr">
        <is>
          <t>新增</t>
        </is>
      </c>
    </row>
    <row r="189">
      <c r="A189" t="inlineStr">
        <is>
          <t>920116_星图测控</t>
        </is>
      </c>
      <c r="B189" t="inlineStr">
        <is>
          <t>2017-10-25</t>
        </is>
      </c>
      <c r="C189" t="inlineStr">
        <is>
          <t>2024-06-30</t>
        </is>
      </c>
      <c r="D189" t="inlineStr">
        <is>
          <t>幸福一期</t>
        </is>
      </c>
      <c r="E189" t="inlineStr"/>
      <c r="F189" t="inlineStr"/>
      <c r="G189" t="inlineStr">
        <is>
          <t>917.4219</t>
        </is>
      </c>
      <c r="H189" t="inlineStr"/>
      <c r="I189" t="inlineStr">
        <is>
          <t>917.4219</t>
        </is>
      </c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2017-10-25</t>
        </is>
      </c>
      <c r="C190" t="inlineStr">
        <is>
          <t>2024-06-30</t>
        </is>
      </c>
      <c r="D190" t="inlineStr">
        <is>
          <t>策星揽月</t>
        </is>
      </c>
      <c r="E190" t="inlineStr"/>
      <c r="F190" t="inlineStr"/>
      <c r="G190" t="inlineStr">
        <is>
          <t>412.5</t>
        </is>
      </c>
      <c r="H190" t="inlineStr"/>
      <c r="I190" t="inlineStr">
        <is>
          <t>412.5</t>
        </is>
      </c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2017-10-25</t>
        </is>
      </c>
      <c r="C191" t="inlineStr">
        <is>
          <t>2024-06-30</t>
        </is>
      </c>
      <c r="D191" t="inlineStr">
        <is>
          <t>吴功友</t>
        </is>
      </c>
      <c r="E191" t="inlineStr"/>
      <c r="F191" t="inlineStr">
        <is>
          <t>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策星逐日</t>
        </is>
      </c>
      <c r="E192" t="inlineStr"/>
      <c r="F192" t="inlineStr"/>
      <c r="G192" t="inlineStr">
        <is>
          <t>171.0</t>
        </is>
      </c>
      <c r="H192" t="inlineStr"/>
      <c r="I192" t="inlineStr">
        <is>
          <t>171.0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/>
      <c r="C194" t="inlineStr">
        <is>
          <t>2024-06-30</t>
        </is>
      </c>
      <c r="D194" t="inlineStr">
        <is>
          <t>中科星图股份有限公司 (认缴→存量)</t>
        </is>
      </c>
      <c r="E194" t="inlineStr"/>
      <c r="F194" t="inlineStr"/>
      <c r="G194" t="inlineStr">
        <is>
          <t>3825.0</t>
        </is>
      </c>
      <c r="H194" t="inlineStr">
        <is>
          <t>3825.0</t>
        </is>
      </c>
      <c r="I194" t="inlineStr">
        <is>
          <t>3825.0</t>
        </is>
      </c>
      <c r="J194" t="inlineStr">
        <is>
          <t>0.0</t>
        </is>
      </c>
      <c r="K194" t="inlineStr">
        <is>
          <t>PASS</t>
        </is>
      </c>
      <c r="L194" t="inlineStr">
        <is>
          <t>认购数 vs 存量持股数</t>
        </is>
      </c>
    </row>
    <row r="195">
      <c r="A195" t="inlineStr">
        <is>
          <t>920116_星图测控</t>
        </is>
      </c>
      <c r="B195" t="inlineStr"/>
      <c r="C195" t="inlineStr">
        <is>
          <t>2024-06-30</t>
        </is>
      </c>
      <c r="D195" t="inlineStr">
        <is>
          <t>策星九天 (认缴→存量)</t>
        </is>
      </c>
      <c r="E195" t="inlineStr"/>
      <c r="F195" t="inlineStr"/>
      <c r="G195" t="inlineStr">
        <is>
          <t>2345.0781</t>
        </is>
      </c>
      <c r="H195" t="inlineStr">
        <is>
          <t>2345.0781</t>
        </is>
      </c>
      <c r="I195" t="inlineStr">
        <is>
          <t>2345.0781</t>
        </is>
      </c>
      <c r="J195" t="inlineStr">
        <is>
          <t>0.0</t>
        </is>
      </c>
      <c r="K195" t="inlineStr">
        <is>
          <t>PASS</t>
        </is>
      </c>
      <c r="L195" t="inlineStr">
        <is>
          <t>认购数 vs 存量持股数</t>
        </is>
      </c>
    </row>
    <row r="196">
      <c r="A196" t="inlineStr">
        <is>
          <t>920116_星图测控</t>
        </is>
      </c>
      <c r="B196" t="inlineStr"/>
      <c r="C196" t="inlineStr">
        <is>
          <t>2024-06-30</t>
        </is>
      </c>
      <c r="D196" t="inlineStr">
        <is>
          <t>幸福一期 (认缴→存量)</t>
        </is>
      </c>
      <c r="E196" t="inlineStr"/>
      <c r="F196" t="inlineStr"/>
      <c r="G196" t="inlineStr">
        <is>
          <t>917.4219</t>
        </is>
      </c>
      <c r="H196" t="inlineStr">
        <is>
          <t>917.4219</t>
        </is>
      </c>
      <c r="I196" t="inlineStr">
        <is>
          <t>917.4219</t>
        </is>
      </c>
      <c r="J196" t="inlineStr">
        <is>
          <t>0.0</t>
        </is>
      </c>
      <c r="K196" t="inlineStr">
        <is>
          <t>PASS</t>
        </is>
      </c>
      <c r="L196" t="inlineStr">
        <is>
          <t>认购数 vs 存量持股数</t>
        </is>
      </c>
    </row>
    <row r="197">
      <c r="A197" t="inlineStr">
        <is>
          <t>920116_星图测控</t>
        </is>
      </c>
      <c r="B197" t="inlineStr"/>
      <c r="C197" t="inlineStr">
        <is>
          <t>2024-06-30</t>
        </is>
      </c>
      <c r="D197" t="inlineStr">
        <is>
          <t>策星揽月 (认缴→存量)</t>
        </is>
      </c>
      <c r="E197" t="inlineStr"/>
      <c r="F197" t="inlineStr"/>
      <c r="G197" t="inlineStr">
        <is>
          <t>412.5</t>
        </is>
      </c>
      <c r="H197" t="inlineStr">
        <is>
          <t>412.5</t>
        </is>
      </c>
      <c r="I197" t="inlineStr">
        <is>
          <t>412.5</t>
        </is>
      </c>
      <c r="J197" t="inlineStr">
        <is>
          <t>0.0</t>
        </is>
      </c>
      <c r="K197" t="inlineStr">
        <is>
          <t>PASS</t>
        </is>
      </c>
      <c r="L197" t="inlineStr">
        <is>
          <t>认购数 vs 存量持股数</t>
        </is>
      </c>
    </row>
    <row r="198">
      <c r="A198" t="inlineStr">
        <is>
          <t>920116_星图测控</t>
        </is>
      </c>
      <c r="B198" t="inlineStr"/>
      <c r="C198" t="inlineStr">
        <is>
          <t>2024-06-30</t>
        </is>
      </c>
      <c r="D198" t="inlineStr">
        <is>
          <t>幸福二期 (认缴→存量)</t>
        </is>
      </c>
      <c r="E198" t="inlineStr"/>
      <c r="F198" t="inlineStr"/>
      <c r="G198" t="inlineStr">
        <is>
          <t>300.0</t>
        </is>
      </c>
      <c r="H198" t="inlineStr">
        <is>
          <t>300.0</t>
        </is>
      </c>
      <c r="I198" t="inlineStr">
        <is>
          <t>300.0</t>
        </is>
      </c>
      <c r="J198" t="inlineStr">
        <is>
          <t>0.0</t>
        </is>
      </c>
      <c r="K198" t="inlineStr">
        <is>
          <t>PASS</t>
        </is>
      </c>
      <c r="L198" t="inlineStr">
        <is>
          <t>认购数 vs 存量持股数</t>
        </is>
      </c>
    </row>
    <row r="199">
      <c r="A199" t="inlineStr">
        <is>
          <t>920116_星图测控</t>
        </is>
      </c>
      <c r="B199" t="inlineStr"/>
      <c r="C199" t="inlineStr">
        <is>
          <t>2024-06-30</t>
        </is>
      </c>
      <c r="D199" t="inlineStr">
        <is>
          <t>策星银河 (认缴→存量)</t>
        </is>
      </c>
      <c r="E199" t="inlineStr"/>
      <c r="F199" t="inlineStr"/>
      <c r="G199" t="inlineStr">
        <is>
          <t>279.0</t>
        </is>
      </c>
      <c r="H199" t="inlineStr">
        <is>
          <t>279.0</t>
        </is>
      </c>
      <c r="I199" t="inlineStr">
        <is>
          <t>279.0</t>
        </is>
      </c>
      <c r="J199" t="inlineStr">
        <is>
          <t>0.0</t>
        </is>
      </c>
      <c r="K199" t="inlineStr">
        <is>
          <t>PASS</t>
        </is>
      </c>
      <c r="L199" t="inlineStr">
        <is>
          <t>认购数 vs 存量持股数</t>
        </is>
      </c>
    </row>
    <row r="200">
      <c r="A200" t="inlineStr">
        <is>
          <t>920116_星图测控</t>
        </is>
      </c>
      <c r="B200" t="inlineStr"/>
      <c r="C200" t="inlineStr">
        <is>
          <t>2024-06-30</t>
        </is>
      </c>
      <c r="D200" t="inlineStr">
        <is>
          <t>策星逐日 (认缴→存量)</t>
        </is>
      </c>
      <c r="E200" t="inlineStr"/>
      <c r="F200" t="inlineStr"/>
      <c r="G200" t="inlineStr">
        <is>
          <t>171.0</t>
        </is>
      </c>
      <c r="H200" t="inlineStr">
        <is>
          <t>171.0</t>
        </is>
      </c>
      <c r="I200" t="inlineStr">
        <is>
          <t>171.0</t>
        </is>
      </c>
      <c r="J200" t="inlineStr">
        <is>
          <t>0.0</t>
        </is>
      </c>
      <c r="K200" t="inlineStr">
        <is>
          <t>PASS</t>
        </is>
      </c>
      <c r="L200" t="inlineStr">
        <is>
          <t>认购数 vs 存量持股数</t>
        </is>
      </c>
    </row>
    <row r="203">
      <c r="A203" s="4">
        <f>== 汇总统计 ===</f>
        <v/>
      </c>
    </row>
    <row r="205">
      <c r="A205" s="5" t="inlineStr">
        <is>
          <t>认缴流量: 19 条</t>
        </is>
      </c>
    </row>
    <row r="206">
      <c r="A206" s="5" t="inlineStr">
        <is>
          <t>股权存量: 19 条</t>
        </is>
      </c>
    </row>
    <row r="207">
      <c r="A207" t="inlineStr">
        <is>
          <t>生成时间: 2026-06-16T17:37:31.931845</t>
        </is>
      </c>
    </row>
  </sheetData>
  <mergeCells count="4">
    <mergeCell ref="A1:D1"/>
    <mergeCell ref="A34:L34"/>
    <mergeCell ref="A29:D29"/>
    <mergeCell ref="A203:D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2026-06-16T09:37:31Z</dcterms:created>
  <dcterms:modified xmlns:dcterms="http://purl.org/dc/terms/" xmlns:xsi="http://www.w3.org/2001/XMLSchema-instance" xsi:type="dcterms:W3CDTF">2026-06-16T09:37:31Z</dcterms:modified>
</cp:coreProperties>
</file>